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Forza - AI Football IQ Platform\Real Madrid VAR Goals Analysis\"/>
    </mc:Choice>
  </mc:AlternateContent>
  <xr:revisionPtr revIDLastSave="0" documentId="13_ncr:1_{18B4E15C-3957-4BFD-8D88-88A76028D486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Composition" sheetId="2" r:id="rId1"/>
    <sheet name="Players" sheetId="3" r:id="rId2"/>
    <sheet name="Coaches" sheetId="4" r:id="rId3"/>
    <sheet name="RM_var_null_goals_breakdown" sheetId="1" r:id="rId4"/>
  </sheets>
  <definedNames>
    <definedName name="_xlnm._FilterDatabase" localSheetId="3" hidden="1">RM_var_null_goals_breakdown!$A$1:$AE$51</definedName>
    <definedName name="_xlcn.WorksheetConnection_RM_nullified_goals_breakdownA1AE521" hidden="1">RM_var_null_goals_breakdown!$A$1:$AE$51</definedName>
  </definedNames>
  <calcPr calcId="0"/>
  <pivotCaches>
    <pivotCache cacheId="0" r:id="rId5"/>
    <pivotCache cacheId="1" r:id="rId6"/>
    <pivotCache cacheId="2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M_nullified_goals_breakdown!$A$1:$AE$52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RM_nullified_goals_breakdown!$A$1:$AE$5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M_nullified_goals_breakdownA1AE521"/>
        </x15:connection>
      </ext>
    </extLst>
  </connection>
</connections>
</file>

<file path=xl/sharedStrings.xml><?xml version="1.0" encoding="utf-8"?>
<sst xmlns="http://schemas.openxmlformats.org/spreadsheetml/2006/main" count="919" uniqueCount="262">
  <si>
    <t>rank</t>
  </si>
  <si>
    <t>date</t>
  </si>
  <si>
    <t>season</t>
  </si>
  <si>
    <t>round</t>
  </si>
  <si>
    <t>rival</t>
  </si>
  <si>
    <t>active_player</t>
  </si>
  <si>
    <t>passive_player</t>
  </si>
  <si>
    <t>local_flag</t>
  </si>
  <si>
    <t>var_reason</t>
  </si>
  <si>
    <t>context_category</t>
  </si>
  <si>
    <t>minute</t>
  </si>
  <si>
    <t>minute_display</t>
  </si>
  <si>
    <t>half</t>
  </si>
  <si>
    <t>score_before_goal (team-opp)</t>
  </si>
  <si>
    <t>what_the_goal_would_have_been</t>
  </si>
  <si>
    <t>team_goals_final</t>
  </si>
  <si>
    <t>rival_goals_final</t>
  </si>
  <si>
    <t>outcome</t>
  </si>
  <si>
    <t>points_lost_due_to_nullification</t>
  </si>
  <si>
    <t>league_position_at_time</t>
  </si>
  <si>
    <t>rival_position_at_time</t>
  </si>
  <si>
    <t>points_at_time</t>
  </si>
  <si>
    <t>referee_on_field</t>
  </si>
  <si>
    <t>laliga_title_won_flag</t>
  </si>
  <si>
    <t>la_liga_champion</t>
  </si>
  <si>
    <t>var_decision_text</t>
  </si>
  <si>
    <t>var_evidence</t>
  </si>
  <si>
    <t>2018-2019</t>
  </si>
  <si>
    <t>Real Madrid</t>
  </si>
  <si>
    <t>Sevilla</t>
  </si>
  <si>
    <t>Luka Modric</t>
  </si>
  <si>
    <t>Offside</t>
  </si>
  <si>
    <t>Offside - goalscorer</t>
  </si>
  <si>
    <t>54'</t>
  </si>
  <si>
    <t>second</t>
  </si>
  <si>
    <t>0-3</t>
  </si>
  <si>
    <t>Reduce deficit</t>
  </si>
  <si>
    <t>LOSS</t>
  </si>
  <si>
    <t>Alejandro Hernández Hernández</t>
  </si>
  <si>
    <t>FC Barcelona</t>
  </si>
  <si>
    <t>Referee Alejandro Hernandez has changed his mind after the VAR review and the goal is chalked off for offside!</t>
  </si>
  <si>
    <t>Explicit VAR wording / ESPN review</t>
  </si>
  <si>
    <t>Levante</t>
  </si>
  <si>
    <t>Marco Asensio</t>
  </si>
  <si>
    <t>Offside - player not identified</t>
  </si>
  <si>
    <t>18'</t>
  </si>
  <si>
    <t>first</t>
  </si>
  <si>
    <t>0-2</t>
  </si>
  <si>
    <t>Guillermo Cuadra Fernández</t>
  </si>
  <si>
    <t>Celta de Vigo</t>
  </si>
  <si>
    <t>56'</t>
  </si>
  <si>
    <t>0-0</t>
  </si>
  <si>
    <t>Go-ahead / opener</t>
  </si>
  <si>
    <t>WIN</t>
  </si>
  <si>
    <t>Juan Martínez Munuera</t>
  </si>
  <si>
    <t>After what seems an eternity, referee Juan Martinez Munuera decides there was an offside after using VAR to review the goal! NO GOAL for Real Madrid, play to continue.</t>
  </si>
  <si>
    <t>2019-2020</t>
  </si>
  <si>
    <t>Osasuna</t>
  </si>
  <si>
    <t>Luka Jovic</t>
  </si>
  <si>
    <t>58'</t>
  </si>
  <si>
    <t>Extend lead</t>
  </si>
  <si>
    <t>Mateu Lahoz</t>
  </si>
  <si>
    <t>Here comes the VAR decision. NO GOAL, the ref disallows it due to offside.</t>
  </si>
  <si>
    <t>Real Betis</t>
  </si>
  <si>
    <t>Eden Hazard</t>
  </si>
  <si>
    <t>8'</t>
  </si>
  <si>
    <t>DRAW</t>
  </si>
  <si>
    <t>José María Sánchez Martínez</t>
  </si>
  <si>
    <t>The goal by Real Madrid won’t count as referee Jose Sanchez disallows the goal on the advice of the video assistant referee.</t>
  </si>
  <si>
    <t>Real Valladolid</t>
  </si>
  <si>
    <t>Casemiro</t>
  </si>
  <si>
    <t>12'</t>
  </si>
  <si>
    <t>De Burgos Bengoetxea</t>
  </si>
  <si>
    <t>The goal by Real Madrid won’t count as referee Ricardo de Burgos Bengoetxea disallows the goal on the advice of the video assistant referee.</t>
  </si>
  <si>
    <t>Sergio Ramos</t>
  </si>
  <si>
    <t>49'</t>
  </si>
  <si>
    <t>0-1</t>
  </si>
  <si>
    <t>Equaliser</t>
  </si>
  <si>
    <t>Javier Alberola Rojas</t>
  </si>
  <si>
    <t>The goal by Real Madrid is DISALLOWED on the advice of the video assistant referee due to an offside.</t>
  </si>
  <si>
    <t>Villarreal</t>
  </si>
  <si>
    <t>Handball</t>
  </si>
  <si>
    <t>Handball (attacking team)</t>
  </si>
  <si>
    <t>90+6'</t>
  </si>
  <si>
    <t>After what seems an eternity, referee Alejandro Hernandez decides there was a handball after using VAR to review the goal! NO GOAL for Real Madrid, play to continue.</t>
  </si>
  <si>
    <t>2020-2021</t>
  </si>
  <si>
    <t>Video review (unspecified)</t>
  </si>
  <si>
    <t>69'</t>
  </si>
  <si>
    <t>José Luis Munuera Montero</t>
  </si>
  <si>
    <t>Atlético de Madrid</t>
  </si>
  <si>
    <t>The Real Madrid players’ celebrations are quickly cut short after referee Jose Luis Munuera Montero signals NO GOAL following the VAR review due to an offside.</t>
  </si>
  <si>
    <t>Valencia</t>
  </si>
  <si>
    <t>Ferland Mendy</t>
  </si>
  <si>
    <t>62'</t>
  </si>
  <si>
    <t>The goal by Real Madrid won't count as it has been disallowed due to offside on the advice of the video assistant referee!</t>
  </si>
  <si>
    <t>Eibar</t>
  </si>
  <si>
    <t>38'</t>
  </si>
  <si>
    <t>Isidro Díaz de Mera Escuderos</t>
  </si>
  <si>
    <t>Karim Benzema</t>
  </si>
  <si>
    <t>Vinícius Júnior tries a through ball, but Álvaro Odriozola</t>
  </si>
  <si>
    <t>Offside - teammate in build-up</t>
  </si>
  <si>
    <t>The Real Madrid players’ celebrations are quickly cut short after referee Juan Martinez Munuera signals NO GOAL following the VAR review due to an offside.</t>
  </si>
  <si>
    <t>Here comes the VAR verdict. NO GOAL for Real Madrid due to an offside in the build-up play.</t>
  </si>
  <si>
    <t>2021-2022</t>
  </si>
  <si>
    <t>Mallorca</t>
  </si>
  <si>
    <t>Foul</t>
  </si>
  <si>
    <t>Attacking foul (before goal)</t>
  </si>
  <si>
    <t>Here comes the VAR verdict. NO GOAL for Real Madrid due to a foul in the build-up play.</t>
  </si>
  <si>
    <t>Rayo Vallecano</t>
  </si>
  <si>
    <t>39'</t>
  </si>
  <si>
    <t>After what seems an eternity, referee Isidro Diaz de Mera decides there was an offside after using VAR to review the goal! NO GOAL for Real Madrid, play to continue.</t>
  </si>
  <si>
    <t>Real Sociedad</t>
  </si>
  <si>
    <t>Jesús Gil Manzano</t>
  </si>
  <si>
    <t>Vinícius Júnior</t>
  </si>
  <si>
    <t>76'</t>
  </si>
  <si>
    <t>Here comes the VAR verdict. NO GOAL for Real Madrid due to a handball in the build-up play.</t>
  </si>
  <si>
    <t>Espanyol</t>
  </si>
  <si>
    <t>Isco</t>
  </si>
  <si>
    <t>72'</t>
  </si>
  <si>
    <t>The referee looks satisfied after his VAR review and duly disallows the goal for offside. The Real Madrid players look gutted.</t>
  </si>
  <si>
    <t>2022-2023</t>
  </si>
  <si>
    <t>81'</t>
  </si>
  <si>
    <t>Getafe</t>
  </si>
  <si>
    <t>Rodrygo</t>
  </si>
  <si>
    <t>57'</t>
  </si>
  <si>
    <t>Celebrations are cut short for Real Madrid as the referee indicates NO GOAL after the VAR review shows it was offside!</t>
  </si>
  <si>
    <t>Elche</t>
  </si>
  <si>
    <t>Toni Kroos tries a through ball, but Daniel Carvajal</t>
  </si>
  <si>
    <t>61'</t>
  </si>
  <si>
    <t>David Alaba</t>
  </si>
  <si>
    <t>26'</t>
  </si>
  <si>
    <t>Rodrygo tries a through ball, but Vinícius Júnior</t>
  </si>
  <si>
    <t>6'</t>
  </si>
  <si>
    <t>Girona</t>
  </si>
  <si>
    <t>Other / unspecified VAR review</t>
  </si>
  <si>
    <t>90'</t>
  </si>
  <si>
    <t>Mario Melero López</t>
  </si>
  <si>
    <t>The Real Madrid players can't believe it after the referee disallows the goal after the intervention of the VAR!</t>
  </si>
  <si>
    <t>Antonio Rüdiger</t>
  </si>
  <si>
    <t>45+3'</t>
  </si>
  <si>
    <t>Celebrations are cut short for Real Madrid as the referee indicates NO GOAL after the VAR review due to a foul in the build-up play.</t>
  </si>
  <si>
    <t>Federico Valverde tries a through ball, but Álvaro Rodríguez</t>
  </si>
  <si>
    <t>89'</t>
  </si>
  <si>
    <t>César Soto Grado</t>
  </si>
  <si>
    <t>66'</t>
  </si>
  <si>
    <t>Juan Luis Pulido Santana</t>
  </si>
  <si>
    <t>The Real Madrid players’ celebrations are quickly cut short after referee Juan Pulido signals NO GOAL following the VAR review due to a handball.</t>
  </si>
  <si>
    <t>2023-2024</t>
  </si>
  <si>
    <t>Almería</t>
  </si>
  <si>
    <t>Toni Kroos</t>
  </si>
  <si>
    <t>45+5'</t>
  </si>
  <si>
    <t>The goal by Real Madrid is DISALLOWED on the advice of the video assistant referee due to a foul.</t>
  </si>
  <si>
    <t>Federico Valverde</t>
  </si>
  <si>
    <t>4'</t>
  </si>
  <si>
    <t>Lucas</t>
  </si>
  <si>
    <t>10'</t>
  </si>
  <si>
    <t>The Real Madrid players halt their celebrations as referee Isidro Diaz de Mera makes the VAR signal to review the goal, most likely to ascertain if there was a foul in the build-up play.</t>
  </si>
  <si>
    <t>2024-2025</t>
  </si>
  <si>
    <t>Kylian Mbappé</t>
  </si>
  <si>
    <t>30'</t>
  </si>
  <si>
    <t>Athletic Club</t>
  </si>
  <si>
    <t>14'</t>
  </si>
  <si>
    <t>60'</t>
  </si>
  <si>
    <t>Las Palmas</t>
  </si>
  <si>
    <t>42'</t>
  </si>
  <si>
    <t>Alejandro Quintero González</t>
  </si>
  <si>
    <t>Jude Bellingham</t>
  </si>
  <si>
    <t>73'</t>
  </si>
  <si>
    <t>Lucas Vázquez</t>
  </si>
  <si>
    <t>86'</t>
  </si>
  <si>
    <t>Mouctar Diakhaby</t>
  </si>
  <si>
    <t>21'</t>
  </si>
  <si>
    <t>Deportivo Alavés</t>
  </si>
  <si>
    <t>Raúl Asencio</t>
  </si>
  <si>
    <t>19'</t>
  </si>
  <si>
    <t>Endrick</t>
  </si>
  <si>
    <t>79'</t>
  </si>
  <si>
    <t>Hold on! There’s a VAR review to see whether there was an offside in the build up to the goal. The referee is checking now. The Real Madrid players aren’t happy.</t>
  </si>
  <si>
    <t>2025-2026</t>
  </si>
  <si>
    <t>Arda Güler</t>
  </si>
  <si>
    <t>55'</t>
  </si>
  <si>
    <t>The Real Madrid players halt their celebrations as referee Jose Sanchez makes the VAR signal to review the goal, most likely to ascertain if there was a handball in the build-up play.</t>
  </si>
  <si>
    <t>45+1'</t>
  </si>
  <si>
    <t>7'</t>
  </si>
  <si>
    <t>2'</t>
  </si>
  <si>
    <t>40'</t>
  </si>
  <si>
    <t>After what seems an eternity, referee Ricardo De Burgos decides there was a handball after using VAR to review the goal! NO GOAL for Real Madrid, play to continue.</t>
  </si>
  <si>
    <t>2026-2027</t>
  </si>
  <si>
    <t>Brahim Díaz</t>
  </si>
  <si>
    <t>Carlos Espí</t>
  </si>
  <si>
    <t>Mateo Busquets Ferrer</t>
  </si>
  <si>
    <t>In progress (leader: FC Barcelona)</t>
  </si>
  <si>
    <t>87'</t>
  </si>
  <si>
    <t>71'</t>
  </si>
  <si>
    <t>The Real Madrid players’ celebrations are quickly cut short after referee Isidro Diaz signals NO GOAL following the VAR review due to a foul.</t>
  </si>
  <si>
    <t>Row Labels</t>
  </si>
  <si>
    <t>Grand Total</t>
  </si>
  <si>
    <t>Count of rank</t>
  </si>
  <si>
    <t>manual_validation</t>
  </si>
  <si>
    <t>links</t>
  </si>
  <si>
    <t>https://www.youtube.com/watch?v=2EGTD_d6Ubo</t>
  </si>
  <si>
    <t>https://www.youtube.com/watch?v=_owpCGaLbM4</t>
  </si>
  <si>
    <t>https://www.youtube.com/watch?v=J9bxO1IuMsU</t>
  </si>
  <si>
    <t>https://www.youtube.com/watch?v=FijHTEea9M0</t>
  </si>
  <si>
    <t>https://www.youtube.com/watch?v=8Tjml1O2cmg</t>
  </si>
  <si>
    <t>https://www.youtube.com/watch?v=7ouQeRja8bg</t>
  </si>
  <si>
    <t>https://www.youtube.com/watch?v=XxyMCvy1o9o</t>
  </si>
  <si>
    <t>https://www.youtube.com/watch?v=5t1nrMZcgrE</t>
  </si>
  <si>
    <t>https://www.youtube.com/watch?v=KLQXADFjqEU</t>
  </si>
  <si>
    <t>https://www.youtube.com/watch?v=wGTzyzPNfvk</t>
  </si>
  <si>
    <t>https://www.youtube.com/watch?v=s6HgZkQQQMk</t>
  </si>
  <si>
    <t>https://www.espn.com/soccer/commentary/_/gameId/581916</t>
  </si>
  <si>
    <t>https://en.as.com/en/2021/05/09/soccer/1620581894_753823.html</t>
  </si>
  <si>
    <t>https://www.youtube.com/watch?v=7t91jEklf2s</t>
  </si>
  <si>
    <t>https://www.youtube.com/watch?v=VmTWf4FSjd0</t>
  </si>
  <si>
    <t>https://www.youtube.com/watch?v=uQ7n1dv_Jis</t>
  </si>
  <si>
    <t>https://www.youtube.com/watch?v=VNhU4q4T6pc</t>
  </si>
  <si>
    <t>https://www.youtube.com/watch?v=MTkZzBVDgsk</t>
  </si>
  <si>
    <t>https://www.youtube.com/watch?v=mtyciWFuKtA</t>
  </si>
  <si>
    <t>https://www.youtube.com/watch?v=JnT847UuuPI</t>
  </si>
  <si>
    <t>https://www.youtube.com/watch?v=WR50CwIXeGs</t>
  </si>
  <si>
    <t>https://www.youtube.com/watch?v=5DrYqwmjoAE</t>
  </si>
  <si>
    <t>https://www.youtube.com/watch?v=5SG9lV0Z-Va</t>
  </si>
  <si>
    <t>https://www.youtube.com/watch?v=9MiQhsIvhUk</t>
  </si>
  <si>
    <t>1-0</t>
  </si>
  <si>
    <t>https://www.youtube.com/watch?v=sTw2Da8NTZI</t>
  </si>
  <si>
    <t>https://www.youtube.com/watch?v=xkfl7vAW8J8</t>
  </si>
  <si>
    <t>https://www.youtube.com/watch?v=GqQiijlMbuI</t>
  </si>
  <si>
    <t>https://www.youtube.com/watch?v=4ASM44qvE80</t>
  </si>
  <si>
    <t>https://www.youtube.com/watch?v=N4OOSIKtKUk</t>
  </si>
  <si>
    <t>https://www.youtube.com/watch?v=6FKYTezTwx4</t>
  </si>
  <si>
    <t>https://www.youtube.com/watch?v=qVURhidDo7o</t>
  </si>
  <si>
    <t>https://www.youtube.com/watch?v=Hf9pXbnWIK8</t>
  </si>
  <si>
    <t>https://www.youtube.com/watch?v=ytP7vTRXb6o</t>
  </si>
  <si>
    <t>https://www.youtube.com/watch?v=GdR0KLwAl6w</t>
  </si>
  <si>
    <t>https://www.youtube.com/watch?v=fzM7XYNlv-g</t>
  </si>
  <si>
    <t>https://www.youtube.com/watch?v=qt3QcyaBhmI</t>
  </si>
  <si>
    <t>https://www.youtube.com/watch?v=DilVQFNnBLI</t>
  </si>
  <si>
    <t>https://www.youtube.com/watch?v=wO5LvEoaKBY</t>
  </si>
  <si>
    <t>https://www.youtube.com/watch?v=_xXdVTX7NXs</t>
  </si>
  <si>
    <t>https://www.youtube.com/watch?v=FNCgwwHZ2l8</t>
  </si>
  <si>
    <t>https://www.youtube.com/watch?v=uIr56A1JnoQ</t>
  </si>
  <si>
    <t>https://www.youtube.com/watch?v=xssDr9wNr_8</t>
  </si>
  <si>
    <t>https://www.youtube.com/watch?v=Ls7lgDXcZp8</t>
  </si>
  <si>
    <t>https://www.youtube.com/watch?v=jntC-JcFM3A</t>
  </si>
  <si>
    <t>coach</t>
  </si>
  <si>
    <t>team_(null_goal)</t>
  </si>
  <si>
    <t>Julen Lopetegui</t>
  </si>
  <si>
    <t>Zinedine Zidane</t>
  </si>
  <si>
    <t>Carlo Ancelotti</t>
  </si>
  <si>
    <t>Xabi Alonso</t>
  </si>
  <si>
    <t>José Mourinho</t>
  </si>
  <si>
    <t>Column Labels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</si>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</sst>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43"/>
    <xf numFmtId="0" fontId="0" fillId="0" borderId="0" xfId="0" applyAlignment="1">
      <alignment horizontal="left" vertical="center"/>
    </xf>
    <xf numFmtId="49" fontId="0" fillId="0" borderId="0" xfId="0" applyNumberFormat="1"/>
    <xf numFmtId="0" fontId="18" fillId="0" borderId="0" xfId="43" applyAlignment="1">
      <alignment horizontal="left"/>
    </xf>
    <xf numFmtId="9" fontId="0" fillId="0" borderId="0" xfId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lando leopoldo bouloy fascitelli" refreshedDate="46307.901758101849" backgroundQuery="1" createdVersion="8" refreshedVersion="8" minRefreshableVersion="3" recordCount="0" supportSubquery="1" supportAdvancedDrill="1" xr:uid="{00000000-000A-0000-FFFF-FFFF71000000}">
  <cacheSource type="external" connectionId="1"/>
  <cacheFields count="4">
    <cacheField name="[Range].[coach].[coach]" caption="coach" numFmtId="0" hierarchy="6" level="1">
      <sharedItems count="5">
        <s v="Carlo Ancelotti"/>
        <s v="José Mourinho"/>
        <s v="Julen Lopetegui"/>
        <s v="Xabi Alonso"/>
        <s v="Zinedine Zidane"/>
      </sharedItems>
    </cacheField>
    <cacheField name="[Measures].[Count of rank]" caption="Count of rank" numFmtId="0" hierarchy="38" level="32767"/>
    <cacheField name="[Range].[date (Month)].[date (Month)]" caption="date (Month)" numFmtId="0" hierarchy="33" level="1">
      <sharedItems containsNonDate="0" count="11">
        <s v="Sep"/>
        <s v="Oct"/>
        <s v="Mar"/>
        <s v="Nov"/>
        <s v="Jan"/>
        <s v="Feb"/>
        <s v="Jul"/>
        <s v="Apr"/>
        <s v="May"/>
        <s v="Aug"/>
        <s v="Dec"/>
      </sharedItems>
    </cacheField>
    <cacheField name="[Range].[date (Year)].[date (Year)]" caption="date (Year)" numFmtId="0" hierarchy="31" level="1">
      <sharedItems count="9">
        <s v="2018"/>
        <s v="2019"/>
        <s v="2020"/>
        <s v="2021"/>
        <s v="2022"/>
        <s v="2023"/>
        <s v="2024"/>
        <s v="2025"/>
        <s v="2026"/>
      </sharedItems>
    </cacheField>
  </cacheFields>
  <cacheHierarchies count="39">
    <cacheHierarchy uniqueName="[Range].[rank]" caption="rank" attribute="1" defaultMemberUniqueName="[Range].[rank].[All]" allUniqueName="[Range].[rank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round]" caption="round" attribute="1" defaultMemberUniqueName="[Range].[round].[All]" allUniqueName="[Range].[round].[All]" dimensionUniqueName="[Range]" displayFolder="" count="0" memberValueDatatype="20" unbalanced="0"/>
    <cacheHierarchy uniqueName="[Range].[team_(null_goal)]" caption="team_(null_goal)" attribute="1" defaultMemberUniqueName="[Range].[team_(null_goal)].[All]" allUniqueName="[Range].[team_(null_goal)].[All]" dimensionUniqueName="[Range]" displayFolder="" count="0" memberValueDatatype="130" unbalanced="0"/>
    <cacheHierarchy uniqueName="[Range].[rival]" caption="rival" attribute="1" defaultMemberUniqueName="[Range].[rival].[All]" allUniqueName="[Range].[rival].[All]" dimensionUniqueName="[Range]" displayFolder="" count="0" memberValueDatatype="130" unbalanced="0"/>
    <cacheHierarchy uniqueName="[Range].[coach]" caption="coach" attribute="1" defaultMemberUniqueName="[Range].[coach].[All]" allUniqueName="[Range].[coac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ctive_player]" caption="active_player" attribute="1" defaultMemberUniqueName="[Range].[active_player].[All]" allUniqueName="[Range].[active_player].[All]" dimensionUniqueName="[Range]" displayFolder="" count="0" memberValueDatatype="130" unbalanced="0"/>
    <cacheHierarchy uniqueName="[Range].[passive_player]" caption="passive_player" attribute="1" defaultMemberUniqueName="[Range].[passive_player].[All]" allUniqueName="[Range].[passive_player].[All]" dimensionUniqueName="[Range]" displayFolder="" count="0" memberValueDatatype="130" unbalanced="0"/>
    <cacheHierarchy uniqueName="[Range].[local_flag]" caption="local_flag" attribute="1" defaultMemberUniqueName="[Range].[local_flag].[All]" allUniqueName="[Range].[local_flag].[All]" dimensionUniqueName="[Range]" displayFolder="" count="0" memberValueDatatype="11" unbalanced="0"/>
    <cacheHierarchy uniqueName="[Range].[var_reason]" caption="var_reason" attribute="1" defaultMemberUniqueName="[Range].[var_reason].[All]" allUniqueName="[Range].[var_reason].[All]" dimensionUniqueName="[Range]" displayFolder="" count="0" memberValueDatatype="130" unbalanced="0"/>
    <cacheHierarchy uniqueName="[Range].[context_category]" caption="context_category" attribute="1" defaultMemberUniqueName="[Range].[context_category].[All]" allUniqueName="[Range].[context_category].[All]" dimensionUniqueName="[Range]" displayFolder="" count="0" memberValueDatatype="130" unbalanced="0"/>
    <cacheHierarchy uniqueName="[Range].[minute]" caption="minute" attribute="1" defaultMemberUniqueName="[Range].[minute].[All]" allUniqueName="[Range].[minute].[All]" dimensionUniqueName="[Range]" displayFolder="" count="0" memberValueDatatype="20" unbalanced="0"/>
    <cacheHierarchy uniqueName="[Range].[minute_display]" caption="minute_display" attribute="1" defaultMemberUniqueName="[Range].[minute_display].[All]" allUniqueName="[Range].[minute_display].[All]" dimensionUniqueName="[Range]" displayFolder="" count="0" memberValueDatatype="130" unbalanced="0"/>
    <cacheHierarchy uniqueName="[Range].[half]" caption="half" attribute="1" defaultMemberUniqueName="[Range].[half].[All]" allUniqueName="[Range].[half].[All]" dimensionUniqueName="[Range]" displayFolder="" count="0" memberValueDatatype="130" unbalanced="0"/>
    <cacheHierarchy uniqueName="[Range].[score_before_goal (team-opp)]" caption="score_before_goal (team-opp)" attribute="1" defaultMemberUniqueName="[Range].[score_before_goal (team-opp)].[All]" allUniqueName="[Range].[score_before_goal (team-opp)].[All]" dimensionUniqueName="[Range]" displayFolder="" count="0" memberValueDatatype="130" unbalanced="0"/>
    <cacheHierarchy uniqueName="[Range].[what_the_goal_would_have_been]" caption="what_the_goal_would_have_been" attribute="1" defaultMemberUniqueName="[Range].[what_the_goal_would_have_been].[All]" allUniqueName="[Range].[what_the_goal_would_have_been].[All]" dimensionUniqueName="[Range]" displayFolder="" count="0" memberValueDatatype="130" unbalanced="0"/>
    <cacheHierarchy uniqueName="[Range].[team_goals_final]" caption="team_goals_final" attribute="1" defaultMemberUniqueName="[Range].[team_goals_final].[All]" allUniqueName="[Range].[team_goals_final].[All]" dimensionUniqueName="[Range]" displayFolder="" count="0" memberValueDatatype="20" unbalanced="0"/>
    <cacheHierarchy uniqueName="[Range].[rival_goals_final]" caption="rival_goals_final" attribute="1" defaultMemberUniqueName="[Range].[rival_goals_final].[All]" allUniqueName="[Range].[rival_goals_final].[All]" dimensionUniqueName="[Range]" displayFolder="" count="0" memberValueDatatype="20" unbalanced="0"/>
    <cacheHierarchy uniqueName="[Range].[outcome]" caption="outcome" attribute="1" defaultMemberUniqueName="[Range].[outcome].[All]" allUniqueName="[Range].[outcome].[All]" dimensionUniqueName="[Range]" displayFolder="" count="0" memberValueDatatype="130" unbalanced="0"/>
    <cacheHierarchy uniqueName="[Range].[points_lost_due_to_nullification]" caption="points_lost_due_to_nullification" attribute="1" defaultMemberUniqueName="[Range].[points_lost_due_to_nullification].[All]" allUniqueName="[Range].[points_lost_due_to_nullification].[All]" dimensionUniqueName="[Range]" displayFolder="" count="0" memberValueDatatype="20" unbalanced="0"/>
    <cacheHierarchy uniqueName="[Range].[league_position_at_time]" caption="league_position_at_time" attribute="1" defaultMemberUniqueName="[Range].[league_position_at_time].[All]" allUniqueName="[Range].[league_position_at_time].[All]" dimensionUniqueName="[Range]" displayFolder="" count="0" memberValueDatatype="20" unbalanced="0"/>
    <cacheHierarchy uniqueName="[Range].[rival_position_at_time]" caption="rival_position_at_time" attribute="1" defaultMemberUniqueName="[Range].[rival_position_at_time].[All]" allUniqueName="[Range].[rival_position_at_time].[All]" dimensionUniqueName="[Range]" displayFolder="" count="0" memberValueDatatype="20" unbalanced="0"/>
    <cacheHierarchy uniqueName="[Range].[points_at_time]" caption="points_at_time" attribute="1" defaultMemberUniqueName="[Range].[points_at_time].[All]" allUniqueName="[Range].[points_at_time].[All]" dimensionUniqueName="[Range]" displayFolder="" count="0" memberValueDatatype="20" unbalanced="0"/>
    <cacheHierarchy uniqueName="[Range].[referee_on_field]" caption="referee_on_field" attribute="1" defaultMemberUniqueName="[Range].[referee_on_field].[All]" allUniqueName="[Range].[referee_on_field].[All]" dimensionUniqueName="[Range]" displayFolder="" count="0" memberValueDatatype="130" unbalanced="0"/>
    <cacheHierarchy uniqueName="[Range].[laliga_title_won_flag]" caption="laliga_title_won_flag" attribute="1" defaultMemberUniqueName="[Range].[laliga_title_won_flag].[All]" allUniqueName="[Range].[laliga_title_won_flag].[All]" dimensionUniqueName="[Range]" displayFolder="" count="0" memberValueDatatype="11" unbalanced="0"/>
    <cacheHierarchy uniqueName="[Range].[la_liga_champion]" caption="la_liga_champion" attribute="1" defaultMemberUniqueName="[Range].[la_liga_champion].[All]" allUniqueName="[Range].[la_liga_champion].[All]" dimensionUniqueName="[Range]" displayFolder="" count="0" memberValueDatatype="130" unbalanced="0"/>
    <cacheHierarchy uniqueName="[Range].[var_decision_text]" caption="var_decision_text" attribute="1" defaultMemberUniqueName="[Range].[var_decision_text].[All]" allUniqueName="[Range].[var_decision_text].[All]" dimensionUniqueName="[Range]" displayFolder="" count="0" memberValueDatatype="130" unbalanced="0"/>
    <cacheHierarchy uniqueName="[Range].[var_evidence]" caption="var_evidence" attribute="1" defaultMemberUniqueName="[Range].[var_evidence].[All]" allUniqueName="[Range].[var_evidence].[All]" dimensionUniqueName="[Range]" displayFolder="" count="0" memberValueDatatype="130" unbalanced="0"/>
    <cacheHierarchy uniqueName="[Range].[manual_validation]" caption="manual_validation" attribute="1" defaultMemberUniqueName="[Range].[manual_validation].[All]" allUniqueName="[Range].[manual_validation].[All]" dimensionUniqueName="[Range]" displayFolder="" count="0" memberValueDatatype="11" unbalanced="0"/>
    <cacheHierarchy uniqueName="[Range].[links]" caption="links" attribute="1" defaultMemberUniqueName="[Range].[links].[All]" allUniqueName="[Range].[links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ank]" caption="Sum of rank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nk]" caption="Count of rank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lando leopoldo bouloy fascitelli" refreshedDate="46307.901794097219" createdVersion="8" refreshedVersion="8" minRefreshableVersion="3" recordCount="50" xr:uid="{00000000-000A-0000-FFFF-FFFF7C000000}">
  <cacheSource type="worksheet">
    <worksheetSource ref="A1:AE51" sheet="RM_var_null_goals_breakdown"/>
  </cacheSource>
  <cacheFields count="31">
    <cacheField name="rank" numFmtId="0">
      <sharedItems containsSemiMixedTypes="0" containsString="0" containsNumber="1" containsInteger="1" minValue="1" maxValue="50"/>
    </cacheField>
    <cacheField name="date" numFmtId="14">
      <sharedItems containsSemiMixedTypes="0" containsNonDate="0" containsDate="1" containsString="0" minDate="2018-09-26T00:00:00" maxDate="2026-10-11T00:00:00"/>
    </cacheField>
    <cacheField name="season" numFmtId="0">
      <sharedItems/>
    </cacheField>
    <cacheField name="round" numFmtId="0">
      <sharedItems containsSemiMixedTypes="0" containsString="0" containsNumber="1" containsInteger="1" minValue="1" maxValue="38"/>
    </cacheField>
    <cacheField name="team_(null_goal)" numFmtId="0">
      <sharedItems/>
    </cacheField>
    <cacheField name="rival" numFmtId="0">
      <sharedItems/>
    </cacheField>
    <cacheField name="coach" numFmtId="0">
      <sharedItems/>
    </cacheField>
    <cacheField name="active_player" numFmtId="0">
      <sharedItems count="23">
        <s v="Luka Modric"/>
        <s v="Marco Asensio"/>
        <s v="Luka Jovic"/>
        <s v="Eden Hazard"/>
        <s v="Casemiro"/>
        <s v="Sergio Ramos"/>
        <s v="Ferland Mendy"/>
        <s v="Karim Benzema"/>
        <s v="Vinícius Júnior"/>
        <s v="Isco"/>
        <s v="Rodrygo"/>
        <s v="David Alaba"/>
        <s v="Antonio Rüdiger"/>
        <s v="Toni Kroos"/>
        <s v="Federico Valverde"/>
        <s v="Lucas"/>
        <s v="Kylian Mbappé"/>
        <s v="Jude Bellingham"/>
        <s v="Mouctar Diakhaby"/>
        <s v="Raúl Asencio"/>
        <s v="Arda Güler"/>
        <s v="Brahim Díaz"/>
        <s v="Carlos Espí"/>
      </sharedItems>
    </cacheField>
    <cacheField name="passive_player" numFmtId="0">
      <sharedItems containsBlank="1"/>
    </cacheField>
    <cacheField name="local_flag" numFmtId="0">
      <sharedItems/>
    </cacheField>
    <cacheField name="var_reason" numFmtId="0">
      <sharedItems/>
    </cacheField>
    <cacheField name="context_category" numFmtId="0">
      <sharedItems/>
    </cacheField>
    <cacheField name="minute" numFmtId="0">
      <sharedItems containsSemiMixedTypes="0" containsString="0" containsNumber="1" containsInteger="1" minValue="2" maxValue="96"/>
    </cacheField>
    <cacheField name="minute_display" numFmtId="0">
      <sharedItems/>
    </cacheField>
    <cacheField name="half" numFmtId="0">
      <sharedItems/>
    </cacheField>
    <cacheField name="score_before_goal (team-opp)" numFmtId="0">
      <sharedItems containsDate="1" containsMixedTypes="1" minDate="2000-01-01T00:00:00" maxDate="2026-04-02T00:00:00"/>
    </cacheField>
    <cacheField name="what_the_goal_would_have_been" numFmtId="0">
      <sharedItems/>
    </cacheField>
    <cacheField name="team_goals_final" numFmtId="0">
      <sharedItems containsSemiMixedTypes="0" containsString="0" containsNumber="1" containsInteger="1" minValue="0" maxValue="6"/>
    </cacheField>
    <cacheField name="rival_goals_final" numFmtId="0">
      <sharedItems containsSemiMixedTypes="0" containsString="0" containsNumber="1" containsInteger="1" minValue="0" maxValue="4"/>
    </cacheField>
    <cacheField name="outcome" numFmtId="0">
      <sharedItems/>
    </cacheField>
    <cacheField name="points_lost_due_to_nullification" numFmtId="0">
      <sharedItems containsSemiMixedTypes="0" containsString="0" containsNumber="1" containsInteger="1" minValue="0" maxValue="2"/>
    </cacheField>
    <cacheField name="league_position_at_time" numFmtId="0">
      <sharedItems containsSemiMixedTypes="0" containsString="0" containsNumber="1" containsInteger="1" minValue="1" maxValue="7"/>
    </cacheField>
    <cacheField name="rival_position_at_time" numFmtId="0">
      <sharedItems containsSemiMixedTypes="0" containsString="0" containsNumber="1" containsInteger="1" minValue="1" maxValue="20"/>
    </cacheField>
    <cacheField name="points_at_time" numFmtId="0">
      <sharedItems containsSemiMixedTypes="0" containsString="0" containsNumber="1" containsInteger="1" minValue="3" maxValue="83"/>
    </cacheField>
    <cacheField name="referee_on_field" numFmtId="0">
      <sharedItems/>
    </cacheField>
    <cacheField name="laliga_title_won_flag" numFmtId="0">
      <sharedItems/>
    </cacheField>
    <cacheField name="la_liga_champion" numFmtId="0">
      <sharedItems/>
    </cacheField>
    <cacheField name="var_decision_text" numFmtId="0">
      <sharedItems containsBlank="1"/>
    </cacheField>
    <cacheField name="var_evidence" numFmtId="0">
      <sharedItems/>
    </cacheField>
    <cacheField name="manual_validation" numFmtId="0">
      <sharedItems/>
    </cacheField>
    <cacheField name="lin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lando leopoldo bouloy fascitelli" refreshedDate="46307.901823032407" createdVersion="8" refreshedVersion="8" minRefreshableVersion="3" recordCount="50" xr:uid="{00000000-000A-0000-FFFF-FFFF81000000}">
  <cacheSource type="worksheet">
    <worksheetSource ref="A1:AC51" sheet="RM_var_null_goals_breakdown"/>
  </cacheSource>
  <cacheFields count="29">
    <cacheField name="rank" numFmtId="0">
      <sharedItems containsSemiMixedTypes="0" containsString="0" containsNumber="1" containsInteger="1" minValue="1" maxValue="50"/>
    </cacheField>
    <cacheField name="date" numFmtId="14">
      <sharedItems containsSemiMixedTypes="0" containsNonDate="0" containsDate="1" containsString="0" minDate="2018-09-26T00:00:00" maxDate="2026-10-11T00:00:00"/>
    </cacheField>
    <cacheField name="season" numFmtId="0">
      <sharedItems/>
    </cacheField>
    <cacheField name="round" numFmtId="0">
      <sharedItems containsSemiMixedTypes="0" containsString="0" containsNumber="1" containsInteger="1" minValue="1" maxValue="38"/>
    </cacheField>
    <cacheField name="team_(null_goal)" numFmtId="0">
      <sharedItems/>
    </cacheField>
    <cacheField name="rival" numFmtId="0">
      <sharedItems/>
    </cacheField>
    <cacheField name="coach" numFmtId="0">
      <sharedItems/>
    </cacheField>
    <cacheField name="active_player" numFmtId="0">
      <sharedItems/>
    </cacheField>
    <cacheField name="passive_player" numFmtId="0">
      <sharedItems containsBlank="1"/>
    </cacheField>
    <cacheField name="local_flag" numFmtId="0">
      <sharedItems/>
    </cacheField>
    <cacheField name="var_reason" numFmtId="0">
      <sharedItems count="4">
        <s v="Offside"/>
        <s v="Handball"/>
        <s v="Video review (unspecified)"/>
        <s v="Foul"/>
      </sharedItems>
    </cacheField>
    <cacheField name="context_category" numFmtId="0">
      <sharedItems/>
    </cacheField>
    <cacheField name="minute" numFmtId="0">
      <sharedItems containsSemiMixedTypes="0" containsString="0" containsNumber="1" containsInteger="1" minValue="2" maxValue="96"/>
    </cacheField>
    <cacheField name="minute_display" numFmtId="0">
      <sharedItems/>
    </cacheField>
    <cacheField name="half" numFmtId="0">
      <sharedItems/>
    </cacheField>
    <cacheField name="score_before_goal (team-opp)" numFmtId="0">
      <sharedItems containsDate="1" containsMixedTypes="1" minDate="2000-01-01T00:00:00" maxDate="2026-04-02T00:00:00"/>
    </cacheField>
    <cacheField name="what_the_goal_would_have_been" numFmtId="0">
      <sharedItems/>
    </cacheField>
    <cacheField name="team_goals_final" numFmtId="0">
      <sharedItems containsSemiMixedTypes="0" containsString="0" containsNumber="1" containsInteger="1" minValue="0" maxValue="6"/>
    </cacheField>
    <cacheField name="rival_goals_final" numFmtId="0">
      <sharedItems containsSemiMixedTypes="0" containsString="0" containsNumber="1" containsInteger="1" minValue="0" maxValue="4"/>
    </cacheField>
    <cacheField name="outcome" numFmtId="0">
      <sharedItems/>
    </cacheField>
    <cacheField name="points_lost_due_to_nullification" numFmtId="0">
      <sharedItems containsSemiMixedTypes="0" containsString="0" containsNumber="1" containsInteger="1" minValue="0" maxValue="2"/>
    </cacheField>
    <cacheField name="league_position_at_time" numFmtId="0">
      <sharedItems containsSemiMixedTypes="0" containsString="0" containsNumber="1" containsInteger="1" minValue="1" maxValue="7"/>
    </cacheField>
    <cacheField name="rival_position_at_time" numFmtId="0">
      <sharedItems containsSemiMixedTypes="0" containsString="0" containsNumber="1" containsInteger="1" minValue="1" maxValue="20"/>
    </cacheField>
    <cacheField name="points_at_time" numFmtId="0">
      <sharedItems containsSemiMixedTypes="0" containsString="0" containsNumber="1" containsInteger="1" minValue="3" maxValue="83"/>
    </cacheField>
    <cacheField name="referee_on_field" numFmtId="0">
      <sharedItems/>
    </cacheField>
    <cacheField name="laliga_title_won_flag" numFmtId="0">
      <sharedItems/>
    </cacheField>
    <cacheField name="la_liga_champion" numFmtId="0">
      <sharedItems/>
    </cacheField>
    <cacheField name="var_decision_text" numFmtId="0">
      <sharedItems containsBlank="1"/>
    </cacheField>
    <cacheField name="var_evid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d v="2018-09-26T00:00:00"/>
    <s v="2018-2019"/>
    <n v="6"/>
    <s v="Real Madrid"/>
    <s v="Sevilla"/>
    <s v="Julen Lopetegui"/>
    <x v="0"/>
    <m/>
    <b v="0"/>
    <s v="Offside"/>
    <s v="Offside - goalscorer"/>
    <n v="54"/>
    <s v="54'"/>
    <s v="second"/>
    <s v="0-3"/>
    <s v="Reduce deficit"/>
    <n v="0"/>
    <n v="3"/>
    <s v="LOSS"/>
    <n v="0"/>
    <n v="2"/>
    <n v="10"/>
    <n v="13"/>
    <s v="Alejandro Hernández Hernández"/>
    <b v="0"/>
    <s v="FC Barcelona"/>
    <s v="Referee Alejandro Hernandez has changed his mind after the VAR review and the goal is chalked off for offside!"/>
    <s v="Explicit VAR wording / ESPN review"/>
    <b v="1"/>
    <s v="https://www.youtube.com/watch?v=_owpCGaLbM4"/>
  </r>
  <r>
    <n v="2"/>
    <d v="2018-10-20T00:00:00"/>
    <s v="2018-2019"/>
    <n v="9"/>
    <s v="Real Madrid"/>
    <s v="Levante"/>
    <s v="Julen Lopetegui"/>
    <x v="1"/>
    <m/>
    <b v="1"/>
    <s v="Offside"/>
    <s v="Offside - player not identified"/>
    <n v="18"/>
    <s v="18'"/>
    <s v="first"/>
    <s v="0-2"/>
    <s v="Reduce deficit"/>
    <n v="1"/>
    <n v="2"/>
    <s v="LOSS"/>
    <n v="1"/>
    <n v="5"/>
    <n v="11"/>
    <n v="14"/>
    <s v="Guillermo Cuadra Fernández"/>
    <b v="0"/>
    <s v="FC Barcelona"/>
    <m/>
    <s v="Explicit VAR wording / ESPN review"/>
    <b v="1"/>
    <s v="https://www.youtube.com/watch?v=J9bxO1IuMsU"/>
  </r>
  <r>
    <n v="3"/>
    <d v="2019-03-16T00:00:00"/>
    <s v="2018-2019"/>
    <n v="28"/>
    <s v="Real Madrid"/>
    <s v="Celta de Vigo"/>
    <s v="Zinedine Zidane"/>
    <x v="0"/>
    <m/>
    <b v="1"/>
    <s v="Offside"/>
    <s v="Offside - goalscorer"/>
    <n v="56"/>
    <s v="56'"/>
    <s v="second"/>
    <s v="0-0"/>
    <s v="Go-ahead / opener"/>
    <n v="2"/>
    <n v="0"/>
    <s v="WIN"/>
    <n v="0"/>
    <n v="3"/>
    <n v="18"/>
    <n v="51"/>
    <s v="Juan Martínez Munuera"/>
    <b v="0"/>
    <s v="FC Barcelona"/>
    <s v="After what seems an eternity, referee Juan Martinez Munuera decides there was an offside after using VAR to review the goal! NO GOAL for Real Madrid, play to continue."/>
    <s v="Explicit VAR wording / ESPN review"/>
    <b v="1"/>
    <s v="https://www.youtube.com/watch?v=FijHTEea9M0"/>
  </r>
  <r>
    <n v="4"/>
    <d v="2019-09-25T00:00:00"/>
    <s v="2019-2020"/>
    <n v="6"/>
    <s v="Real Madrid"/>
    <s v="Osasuna"/>
    <s v="Zinedine Zidane"/>
    <x v="2"/>
    <m/>
    <b v="1"/>
    <s v="Offside"/>
    <s v="Offside - goalscorer"/>
    <n v="58"/>
    <s v="58'"/>
    <s v="second"/>
    <d v="2000-01-01T00:00:00"/>
    <s v="Extend lead"/>
    <n v="2"/>
    <n v="0"/>
    <s v="WIN"/>
    <n v="0"/>
    <n v="4"/>
    <n v="11"/>
    <n v="11"/>
    <s v="Mateu Lahoz"/>
    <b v="1"/>
    <s v="Real Madrid"/>
    <s v="Here comes the VAR decision. NO GOAL, the ref disallows it due to offside."/>
    <s v="Explicit VAR wording / ESPN review"/>
    <b v="1"/>
    <s v="https://www.youtube.com/watch?v=8Tjml1O2cmg"/>
  </r>
  <r>
    <n v="5"/>
    <d v="2019-11-02T00:00:00"/>
    <s v="2019-2020"/>
    <n v="12"/>
    <s v="Real Madrid"/>
    <s v="Real Betis"/>
    <s v="Zinedine Zidane"/>
    <x v="3"/>
    <m/>
    <b v="1"/>
    <s v="Offside"/>
    <s v="Offside - goalscorer"/>
    <n v="8"/>
    <s v="8'"/>
    <s v="first"/>
    <s v="0-0"/>
    <s v="Go-ahead / opener"/>
    <n v="0"/>
    <n v="0"/>
    <s v="DRAW"/>
    <n v="2"/>
    <n v="2"/>
    <n v="16"/>
    <n v="21"/>
    <s v="José María Sánchez Martínez"/>
    <b v="1"/>
    <s v="Real Madrid"/>
    <s v="The goal by Real Madrid won’t count as referee Jose Sanchez disallows the goal on the advice of the video assistant referee."/>
    <s v="Explicit VAR wording / ESPN review"/>
    <b v="1"/>
    <s v="https://www.youtube.com/watch?v=7ouQeRja8bg"/>
  </r>
  <r>
    <n v="6"/>
    <d v="2020-01-26T00:00:00"/>
    <s v="2019-2020"/>
    <n v="21"/>
    <s v="Real Madrid"/>
    <s v="Real Valladolid"/>
    <s v="Zinedine Zidane"/>
    <x v="4"/>
    <m/>
    <b v="0"/>
    <s v="Offside"/>
    <s v="Offside - player not identified"/>
    <n v="12"/>
    <s v="12'"/>
    <s v="first"/>
    <s v="0-0"/>
    <s v="Go-ahead / opener"/>
    <n v="1"/>
    <n v="0"/>
    <s v="WIN"/>
    <n v="0"/>
    <n v="2"/>
    <n v="16"/>
    <n v="43"/>
    <s v="De Burgos Bengoetxea"/>
    <b v="1"/>
    <s v="Real Madrid"/>
    <s v="The goal by Real Madrid won’t count as referee Ricardo de Burgos Bengoetxea disallows the goal on the advice of the video assistant referee."/>
    <s v="Explicit VAR wording / ESPN review"/>
    <b v="1"/>
    <s v="https://www.youtube.com/watch?v=XxyMCvy1o9o"/>
  </r>
  <r>
    <n v="7"/>
    <d v="2020-02-16T00:00:00"/>
    <s v="2019-2020"/>
    <n v="24"/>
    <s v="Real Madrid"/>
    <s v="Celta de Vigo"/>
    <s v="Zinedine Zidane"/>
    <x v="5"/>
    <m/>
    <b v="1"/>
    <s v="Offside"/>
    <s v="Offside - goalscorer"/>
    <n v="49"/>
    <s v="49'"/>
    <s v="second"/>
    <s v="0-1"/>
    <s v="Equaliser"/>
    <n v="2"/>
    <n v="2"/>
    <s v="DRAW"/>
    <n v="2"/>
    <n v="1"/>
    <n v="18"/>
    <n v="52"/>
    <s v="Javier Alberola Rojas"/>
    <b v="1"/>
    <s v="Real Madrid"/>
    <s v="The goal by Real Madrid is DISALLOWED on the advice of the video assistant referee due to an offside."/>
    <s v="Explicit VAR wording / ESPN review"/>
    <b v="1"/>
    <s v="https://www.youtube.com/watch?v=5t1nrMZcgrE"/>
  </r>
  <r>
    <n v="8"/>
    <d v="2020-07-16T00:00:00"/>
    <s v="2019-2020"/>
    <n v="37"/>
    <s v="Real Madrid"/>
    <s v="Villarreal"/>
    <s v="Zinedine Zidane"/>
    <x v="1"/>
    <m/>
    <b v="1"/>
    <s v="Handball"/>
    <s v="Handball (attacking team)"/>
    <n v="96"/>
    <s v="90+6'"/>
    <s v="second"/>
    <d v="2026-02-01T00:00:00"/>
    <s v="Extend lead"/>
    <n v="2"/>
    <n v="1"/>
    <s v="WIN"/>
    <n v="0"/>
    <n v="1"/>
    <n v="5"/>
    <n v="83"/>
    <s v="Alejandro Hernández Hernández"/>
    <b v="1"/>
    <s v="Real Madrid"/>
    <s v="After what seems an eternity, referee Alejandro Hernandez decides there was a handball after using VAR to review the goal! NO GOAL for Real Madrid, play to continue."/>
    <s v="Explicit VAR wording / ESPN review"/>
    <b v="1"/>
    <s v="https://www.youtube.com/watch?v=KLQXADFjqEU"/>
  </r>
  <r>
    <n v="9"/>
    <d v="2020-10-04T00:00:00"/>
    <s v="2020-2021"/>
    <n v="5"/>
    <s v="Real Madrid"/>
    <s v="Levante"/>
    <s v="Zinedine Zidane"/>
    <x v="5"/>
    <m/>
    <b v="0"/>
    <s v="Video review (unspecified)"/>
    <s v="Offside - player not identified"/>
    <n v="69"/>
    <s v="69'"/>
    <s v="second"/>
    <d v="2000-01-01T00:00:00"/>
    <s v="Extend lead"/>
    <n v="2"/>
    <n v="0"/>
    <s v="WIN"/>
    <n v="0"/>
    <n v="4"/>
    <n v="18"/>
    <n v="7"/>
    <s v="José Luis Munuera Montero"/>
    <b v="0"/>
    <s v="Atlético de Madrid"/>
    <s v="The Real Madrid players’ celebrations are quickly cut short after referee Jose Luis Munuera Montero signals NO GOAL following the VAR review due to an offside."/>
    <s v="Explicit VAR wording / ESPN review"/>
    <b v="1"/>
    <s v="https://www.youtube.com/watch?v=wGTzyzPNfvk"/>
  </r>
  <r>
    <n v="10"/>
    <d v="2021-02-14T00:00:00"/>
    <s v="2020-2021"/>
    <n v="23"/>
    <s v="Real Madrid"/>
    <s v="Valencia"/>
    <s v="Zinedine Zidane"/>
    <x v="6"/>
    <m/>
    <b v="1"/>
    <s v="Offside"/>
    <s v="Offside - goalscorer"/>
    <n v="62"/>
    <s v="62'"/>
    <s v="second"/>
    <d v="2000-02-01T00:00:00"/>
    <s v="Extend lead"/>
    <n v="2"/>
    <n v="0"/>
    <s v="WIN"/>
    <n v="0"/>
    <n v="3"/>
    <n v="12"/>
    <n v="46"/>
    <s v="José María Sánchez Martínez"/>
    <b v="0"/>
    <s v="Atlético de Madrid"/>
    <s v="The goal by Real Madrid won't count as it has been disallowed due to offside on the advice of the video assistant referee!"/>
    <s v="Explicit VAR wording / ESPN review"/>
    <b v="1"/>
    <s v="https://www.youtube.com/watch?v=s6HgZkQQQMk"/>
  </r>
  <r>
    <n v="11"/>
    <d v="2021-04-03T00:00:00"/>
    <s v="2020-2021"/>
    <n v="29"/>
    <s v="Real Madrid"/>
    <s v="Eibar"/>
    <s v="Zinedine Zidane"/>
    <x v="1"/>
    <m/>
    <b v="1"/>
    <s v="Offside"/>
    <s v="Offside - player not identified"/>
    <n v="38"/>
    <s v="38'"/>
    <s v="first"/>
    <s v="0-0"/>
    <s v="Go-ahead / opener"/>
    <n v="2"/>
    <n v="0"/>
    <s v="WIN"/>
    <n v="0"/>
    <n v="3"/>
    <n v="19"/>
    <n v="60"/>
    <s v="Isidro Díaz de Mera Escuderos"/>
    <b v="0"/>
    <s v="Atlético de Madrid"/>
    <s v="The goal by Real Madrid is DISALLOWED on the advice of the video assistant referee due to an offside."/>
    <s v="Explicit VAR wording / ESPN review"/>
    <b v="1"/>
    <s v="https://www.espn.com/soccer/commentary/_/gameId/581916"/>
  </r>
  <r>
    <n v="12"/>
    <d v="2021-05-09T00:00:00"/>
    <s v="2020-2021"/>
    <n v="35"/>
    <s v="Real Madrid"/>
    <s v="Sevilla"/>
    <s v="Zinedine Zidane"/>
    <x v="7"/>
    <s v="Vinícius Júnior tries a through ball, but Álvaro Odriozola"/>
    <b v="1"/>
    <s v="Offside"/>
    <s v="Offside - teammate in build-up"/>
    <n v="12"/>
    <s v="12'"/>
    <s v="first"/>
    <s v="0-0"/>
    <s v="Go-ahead / opener"/>
    <n v="2"/>
    <n v="2"/>
    <s v="DRAW"/>
    <n v="2"/>
    <n v="3"/>
    <n v="4"/>
    <n v="74"/>
    <s v="Juan Martínez Munuera"/>
    <b v="0"/>
    <s v="Atlético de Madrid"/>
    <s v="The Real Madrid players’ celebrations are quickly cut short after referee Juan Martinez Munuera signals NO GOAL following the VAR review due to an offside."/>
    <s v="Explicit VAR wording / ESPN review"/>
    <b v="1"/>
    <s v="https://en.as.com/en/2021/05/09/soccer/1620581894_753823.html"/>
  </r>
  <r>
    <n v="13"/>
    <d v="2021-05-22T00:00:00"/>
    <s v="2020-2021"/>
    <n v="38"/>
    <s v="Real Madrid"/>
    <s v="Villarreal"/>
    <s v="Zinedine Zidane"/>
    <x v="7"/>
    <m/>
    <b v="1"/>
    <s v="Offside"/>
    <s v="Offside - player not identified"/>
    <n v="58"/>
    <s v="58'"/>
    <s v="second"/>
    <s v="0-1"/>
    <s v="Equaliser"/>
    <n v="2"/>
    <n v="1"/>
    <s v="WIN"/>
    <n v="0"/>
    <n v="2"/>
    <n v="6"/>
    <n v="81"/>
    <s v="José Luis Munuera Montero"/>
    <b v="0"/>
    <s v="Atlético de Madrid"/>
    <s v="Here comes the VAR verdict. NO GOAL for Real Madrid due to an offside in the build-up play."/>
    <s v="Explicit VAR wording / ESPN review"/>
    <b v="1"/>
    <s v="https://www.youtube.com/watch?v=7t91jEklf2s"/>
  </r>
  <r>
    <n v="14"/>
    <d v="2021-09-22T00:00:00"/>
    <s v="2021-2022"/>
    <n v="6"/>
    <s v="Real Madrid"/>
    <s v="Mallorca"/>
    <s v="Carlo Ancelotti"/>
    <x v="7"/>
    <m/>
    <b v="1"/>
    <s v="Foul"/>
    <s v="Attacking foul (before goal)"/>
    <n v="49"/>
    <s v="49'"/>
    <s v="second"/>
    <d v="2026-03-01T00:00:00"/>
    <s v="Extend lead"/>
    <n v="6"/>
    <n v="1"/>
    <s v="WIN"/>
    <n v="0"/>
    <n v="2"/>
    <n v="10"/>
    <n v="13"/>
    <s v="Javier Alberola Rojas"/>
    <b v="1"/>
    <s v="Real Madrid"/>
    <s v="Here comes the VAR verdict. NO GOAL for Real Madrid due to a foul in the build-up play."/>
    <s v="Explicit VAR wording / ESPN review"/>
    <b v="1"/>
    <s v="https://www.youtube.com/watch?v=VmTWf4FSjd0"/>
  </r>
  <r>
    <n v="15"/>
    <d v="2022-02-26T00:00:00"/>
    <s v="2021-2022"/>
    <n v="26"/>
    <s v="Real Madrid"/>
    <s v="Rayo Vallecano"/>
    <s v="Carlo Ancelotti"/>
    <x v="4"/>
    <m/>
    <b v="0"/>
    <s v="Offside"/>
    <s v="Offside - goalscorer"/>
    <n v="39"/>
    <s v="39'"/>
    <s v="first"/>
    <s v="0-0"/>
    <s v="Go-ahead / opener"/>
    <n v="1"/>
    <n v="0"/>
    <s v="WIN"/>
    <n v="0"/>
    <n v="1"/>
    <n v="12"/>
    <n v="57"/>
    <s v="Isidro Díaz de Mera Escuderos"/>
    <b v="1"/>
    <s v="Real Madrid"/>
    <s v="After what seems an eternity, referee Isidro Diaz de Mera decides there was an offside after using VAR to review the goal! NO GOAL for Real Madrid, play to continue."/>
    <s v="Explicit VAR wording / ESPN review"/>
    <b v="1"/>
    <s v="https://www.youtube.com/watch?v=uQ7n1dv_Jis"/>
  </r>
  <r>
    <n v="16"/>
    <d v="2022-03-05T00:00:00"/>
    <s v="2021-2022"/>
    <n v="27"/>
    <s v="Real Madrid"/>
    <s v="Real Sociedad"/>
    <s v="Carlo Ancelotti"/>
    <x v="7"/>
    <m/>
    <b v="1"/>
    <s v="Offside"/>
    <s v="Offside - goalscorer"/>
    <n v="69"/>
    <s v="69'"/>
    <s v="second"/>
    <d v="2026-02-01T00:00:00"/>
    <s v="Extend lead"/>
    <n v="4"/>
    <n v="1"/>
    <s v="WIN"/>
    <n v="0"/>
    <n v="1"/>
    <n v="6"/>
    <n v="60"/>
    <s v="Jesús Gil Manzano"/>
    <b v="1"/>
    <s v="Real Madrid"/>
    <s v="Here comes the VAR verdict. NO GOAL for Real Madrid due to an offside in the build-up play."/>
    <s v="Explicit VAR wording / ESPN review"/>
    <b v="1"/>
    <s v="https://www.youtube.com/watch?v=VNhU4q4T6pc"/>
  </r>
  <r>
    <n v="17"/>
    <d v="2022-04-17T00:00:00"/>
    <s v="2021-2022"/>
    <n v="32"/>
    <s v="Real Madrid"/>
    <s v="Sevilla"/>
    <s v="Carlo Ancelotti"/>
    <x v="8"/>
    <m/>
    <b v="0"/>
    <s v="Handball"/>
    <s v="Handball (attacking team)"/>
    <n v="76"/>
    <s v="76'"/>
    <s v="second"/>
    <d v="2026-01-02T00:00:00"/>
    <s v="Equaliser"/>
    <n v="3"/>
    <n v="2"/>
    <s v="WIN"/>
    <n v="0"/>
    <n v="1"/>
    <n v="3"/>
    <n v="72"/>
    <s v="Guillermo Cuadra Fernández"/>
    <b v="1"/>
    <s v="Real Madrid"/>
    <s v="Here comes the VAR verdict. NO GOAL for Real Madrid due to a handball in the build-up play."/>
    <s v="Explicit VAR wording / ESPN review"/>
    <b v="1"/>
    <s v="https://www.youtube.com/watch?v=5SG9lV0Z-Va"/>
  </r>
  <r>
    <n v="18"/>
    <d v="2022-04-30T00:00:00"/>
    <s v="2021-2022"/>
    <n v="34"/>
    <s v="Real Madrid"/>
    <s v="Espanyol"/>
    <s v="Carlo Ancelotti"/>
    <x v="9"/>
    <m/>
    <b v="1"/>
    <s v="Offside"/>
    <s v="Offside - goalscorer"/>
    <n v="72"/>
    <s v="72'"/>
    <s v="second"/>
    <d v="2000-03-01T00:00:00"/>
    <s v="Extend lead"/>
    <n v="4"/>
    <n v="0"/>
    <s v="WIN"/>
    <n v="0"/>
    <n v="1"/>
    <n v="13"/>
    <n v="78"/>
    <s v="José Luis Munuera Montero"/>
    <b v="1"/>
    <s v="Real Madrid"/>
    <s v="The referee looks satisfied after his VAR review and duly disallows the goal for offside. The Real Madrid players look gutted."/>
    <s v="Explicit VAR wording / ESPN review"/>
    <b v="1"/>
    <s v="https://www.youtube.com/watch?v=MTkZzBVDgsk"/>
  </r>
  <r>
    <n v="19"/>
    <d v="2022-10-02T00:00:00"/>
    <s v="2022-2023"/>
    <n v="7"/>
    <s v="Real Madrid"/>
    <s v="Osasuna"/>
    <s v="Carlo Ancelotti"/>
    <x v="7"/>
    <m/>
    <b v="1"/>
    <s v="Offside"/>
    <s v="Offside - goalscorer"/>
    <n v="81"/>
    <s v="81'"/>
    <s v="second"/>
    <d v="2026-01-01T00:00:00"/>
    <s v="Go-ahead / opener"/>
    <n v="1"/>
    <n v="1"/>
    <s v="DRAW"/>
    <n v="2"/>
    <n v="2"/>
    <n v="8"/>
    <n v="18"/>
    <s v="Guillermo Cuadra Fernández"/>
    <b v="0"/>
    <s v="FC Barcelona"/>
    <s v="The goal by Real Madrid is DISALLOWED on the advice of the video assistant referee due to an offside."/>
    <s v="Explicit VAR wording / ESPN review"/>
    <b v="1"/>
    <s v="https://www.youtube.com/watch?v=mtyciWFuKtA"/>
  </r>
  <r>
    <n v="20"/>
    <d v="2022-10-08T00:00:00"/>
    <s v="2022-2023"/>
    <n v="8"/>
    <s v="Real Madrid"/>
    <s v="Getafe"/>
    <s v="Carlo Ancelotti"/>
    <x v="10"/>
    <m/>
    <b v="0"/>
    <s v="Offside"/>
    <s v="Offside - goalscorer"/>
    <n v="57"/>
    <s v="57'"/>
    <s v="second"/>
    <d v="2000-01-01T00:00:00"/>
    <s v="Extend lead"/>
    <n v="1"/>
    <n v="0"/>
    <s v="WIN"/>
    <n v="0"/>
    <n v="2"/>
    <n v="15"/>
    <n v="19"/>
    <s v="Mateu Lahoz"/>
    <b v="0"/>
    <s v="FC Barcelona"/>
    <s v="Celebrations are cut short for Real Madrid as the referee indicates NO GOAL after the VAR review shows it was offside!"/>
    <s v="Explicit VAR wording / ESPN review"/>
    <b v="1"/>
    <s v="https://www.youtube.com/watch?v=WR50CwIXeGs"/>
  </r>
  <r>
    <n v="21"/>
    <d v="2022-10-19T00:00:00"/>
    <s v="2022-2023"/>
    <n v="10"/>
    <s v="Real Madrid"/>
    <s v="Elche"/>
    <s v="Carlo Ancelotti"/>
    <x v="7"/>
    <s v="Toni Kroos tries a through ball, but Daniel Carvajal"/>
    <b v="0"/>
    <s v="Offside"/>
    <s v="Offside - teammate in build-up"/>
    <n v="61"/>
    <s v="61'"/>
    <s v="second"/>
    <d v="2000-01-01T00:00:00"/>
    <s v="Extend lead"/>
    <n v="3"/>
    <n v="0"/>
    <s v="WIN"/>
    <n v="0"/>
    <n v="1"/>
    <n v="20"/>
    <n v="25"/>
    <s v="Jesús Gil Manzano"/>
    <b v="0"/>
    <s v="FC Barcelona"/>
    <s v="The referee looks satisfied after his VAR review and duly disallows the goal for offside. The Real Madrid players look gutted."/>
    <s v="Explicit VAR wording / ESPN review"/>
    <b v="1"/>
    <s v="https://www.youtube.com/watch?v=5DrYqwmjoAE"/>
  </r>
  <r>
    <n v="22"/>
    <d v="2022-10-19T00:00:00"/>
    <s v="2022-2023"/>
    <n v="10"/>
    <s v="Real Madrid"/>
    <s v="Elche"/>
    <s v="Carlo Ancelotti"/>
    <x v="11"/>
    <m/>
    <b v="0"/>
    <s v="Offside"/>
    <s v="Offside - goalscorer"/>
    <n v="26"/>
    <s v="26'"/>
    <s v="first"/>
    <d v="2000-01-01T00:00:00"/>
    <s v="Extend lead"/>
    <n v="3"/>
    <n v="0"/>
    <s v="WIN"/>
    <n v="0"/>
    <n v="1"/>
    <n v="20"/>
    <n v="25"/>
    <s v="Jesús Gil Manzano"/>
    <b v="0"/>
    <s v="FC Barcelona"/>
    <s v="The goal by Real Madrid won't count as it has been disallowed due to offside on the advice of the video assistant referee!"/>
    <s v="Explicit VAR wording / ESPN review"/>
    <b v="1"/>
    <s v="https://www.youtube.com/watch?v=5DrYqwmjoAE"/>
  </r>
  <r>
    <n v="23"/>
    <d v="2022-10-19T00:00:00"/>
    <s v="2022-2023"/>
    <n v="10"/>
    <s v="Real Madrid"/>
    <s v="Elche"/>
    <s v="Carlo Ancelotti"/>
    <x v="7"/>
    <s v="Rodrygo tries a through ball, but Vinícius Júnior"/>
    <b v="0"/>
    <s v="Offside"/>
    <s v="Offside - teammate in build-up"/>
    <n v="6"/>
    <s v="6'"/>
    <s v="first"/>
    <s v="0-0"/>
    <s v="Go-ahead / opener"/>
    <n v="3"/>
    <n v="0"/>
    <s v="WIN"/>
    <n v="0"/>
    <n v="1"/>
    <n v="20"/>
    <n v="25"/>
    <s v="Jesús Gil Manzano"/>
    <b v="0"/>
    <s v="FC Barcelona"/>
    <s v="The goal by Real Madrid is DISALLOWED on the advice of the video assistant referee due to an offside."/>
    <s v="Explicit VAR wording / ESPN review"/>
    <b v="1"/>
    <s v="https://www.youtube.com/watch?v=5DrYqwmjoAE"/>
  </r>
  <r>
    <n v="24"/>
    <d v="2022-10-30T00:00:00"/>
    <s v="2022-2023"/>
    <n v="12"/>
    <s v="Real Madrid"/>
    <s v="Girona"/>
    <s v="Carlo Ancelotti"/>
    <x v="10"/>
    <m/>
    <b v="1"/>
    <s v="Video review (unspecified)"/>
    <s v="Other / unspecified VAR review"/>
    <n v="90"/>
    <s v="90'"/>
    <s v="second"/>
    <d v="2026-01-01T00:00:00"/>
    <s v="Go-ahead / opener"/>
    <n v="1"/>
    <n v="1"/>
    <s v="DRAW"/>
    <n v="2"/>
    <n v="2"/>
    <n v="19"/>
    <n v="31"/>
    <s v="Mario Melero López"/>
    <b v="0"/>
    <s v="FC Barcelona"/>
    <s v="The Real Madrid players can't believe it after the referee disallows the goal after the intervention of the VAR!"/>
    <s v="Explicit VAR wording / ESPN review"/>
    <b v="1"/>
    <s v="https://www.youtube.com/watch?v=JnT847UuuPI"/>
  </r>
  <r>
    <n v="25"/>
    <d v="2023-02-02T00:00:00"/>
    <s v="2022-2023"/>
    <n v="17"/>
    <s v="Real Madrid"/>
    <s v="Valencia"/>
    <s v="Carlo Ancelotti"/>
    <x v="12"/>
    <m/>
    <b v="1"/>
    <s v="Foul"/>
    <s v="Attacking foul (before goal)"/>
    <n v="48"/>
    <s v="45+3'"/>
    <s v="first"/>
    <s v="0-0"/>
    <s v="Go-ahead / opener"/>
    <n v="2"/>
    <n v="0"/>
    <s v="WIN"/>
    <n v="0"/>
    <n v="2"/>
    <n v="14"/>
    <n v="42"/>
    <s v="Javier Alberola Rojas"/>
    <b v="0"/>
    <s v="FC Barcelona"/>
    <s v="Celebrations are cut short for Real Madrid as the referee indicates NO GOAL after the VAR review due to a foul in the build-up play."/>
    <s v="Explicit VAR wording / ESPN review"/>
    <b v="1"/>
    <s v="https://www.youtube.com/watch?v=9MiQhsIvhUk"/>
  </r>
  <r>
    <n v="26"/>
    <d v="2023-02-18T00:00:00"/>
    <s v="2022-2023"/>
    <n v="22"/>
    <s v="Real Madrid"/>
    <s v="Osasuna"/>
    <s v="Carlo Ancelotti"/>
    <x v="8"/>
    <s v="Federico Valverde tries a through ball, but Álvaro Rodríguez"/>
    <b v="0"/>
    <s v="Offside"/>
    <s v="Offside - teammate in build-up"/>
    <n v="89"/>
    <s v="89'"/>
    <s v="second"/>
    <s v="1-0"/>
    <s v="Extend lead"/>
    <n v="2"/>
    <n v="0"/>
    <s v="WIN"/>
    <n v="0"/>
    <n v="2"/>
    <n v="10"/>
    <n v="48"/>
    <s v="José Luis Munuera Montero"/>
    <b v="0"/>
    <s v="FC Barcelona"/>
    <s v="Celebrations are cut short for Real Madrid as the referee indicates NO GOAL after the VAR review shows it was offside!"/>
    <s v="Explicit VAR wording / ESPN review"/>
    <b v="1"/>
    <s v="https://www.youtube.com/watch?v=sTw2Da8NTZI"/>
  </r>
  <r>
    <n v="27"/>
    <d v="2023-03-05T00:00:00"/>
    <s v="2022-2023"/>
    <n v="24"/>
    <s v="Real Madrid"/>
    <s v="Real Betis"/>
    <s v="Carlo Ancelotti"/>
    <x v="7"/>
    <m/>
    <b v="0"/>
    <s v="Handball"/>
    <s v="Handball (attacking team)"/>
    <n v="12"/>
    <s v="12'"/>
    <s v="first"/>
    <s v="0-0"/>
    <s v="Go-ahead / opener"/>
    <n v="0"/>
    <n v="0"/>
    <s v="DRAW"/>
    <n v="2"/>
    <n v="2"/>
    <n v="5"/>
    <n v="52"/>
    <s v="César Soto Grado"/>
    <b v="0"/>
    <s v="FC Barcelona"/>
    <s v="Here comes the VAR verdict. NO GOAL for Real Madrid due to a handball in the build-up play."/>
    <s v="Explicit VAR wording / ESPN review"/>
    <b v="1"/>
    <s v="https://www.youtube.com/watch?v=xkfl7vAW8J8"/>
  </r>
  <r>
    <n v="28"/>
    <d v="2023-03-19T00:00:00"/>
    <s v="2022-2023"/>
    <n v="26"/>
    <s v="Real Madrid"/>
    <s v="FC Barcelona"/>
    <s v="Carlo Ancelotti"/>
    <x v="1"/>
    <m/>
    <b v="0"/>
    <s v="Offside"/>
    <s v="Offside - goalscorer"/>
    <n v="81"/>
    <s v="81'"/>
    <s v="second"/>
    <d v="2026-01-01T00:00:00"/>
    <s v="Go-ahead / opener"/>
    <n v="1"/>
    <n v="2"/>
    <s v="LOSS"/>
    <n v="1"/>
    <n v="2"/>
    <n v="1"/>
    <n v="56"/>
    <s v="De Burgos Bengoetxea"/>
    <b v="0"/>
    <s v="FC Barcelona"/>
    <s v="The referee looks satisfied after his VAR review and duly disallows the goal for offside. The Real Madrid players look gutted."/>
    <s v="Explicit VAR wording / ESPN review"/>
    <b v="1"/>
    <s v="https://www.youtube.com/watch?v=GqQiijlMbuI"/>
  </r>
  <r>
    <n v="29"/>
    <d v="2023-04-02T00:00:00"/>
    <s v="2022-2023"/>
    <n v="27"/>
    <s v="Real Madrid"/>
    <s v="Real Valladolid"/>
    <s v="Carlo Ancelotti"/>
    <x v="10"/>
    <m/>
    <b v="1"/>
    <s v="Handball"/>
    <s v="Handball (attacking team)"/>
    <n v="66"/>
    <s v="66'"/>
    <s v="second"/>
    <d v="2000-04-01T00:00:00"/>
    <s v="Extend lead"/>
    <n v="6"/>
    <n v="0"/>
    <s v="WIN"/>
    <n v="0"/>
    <n v="2"/>
    <n v="15"/>
    <n v="56"/>
    <s v="Juan Luis Pulido Santana"/>
    <b v="0"/>
    <s v="FC Barcelona"/>
    <s v="The Real Madrid players’ celebrations are quickly cut short after referee Juan Pulido signals NO GOAL following the VAR review due to a handball."/>
    <s v="Explicit VAR wording / ESPN review"/>
    <b v="1"/>
    <s v="https://www.youtube.com/watch?v=4ASM44qvE80"/>
  </r>
  <r>
    <n v="30"/>
    <d v="2023-08-19T00:00:00"/>
    <s v="2023-2024"/>
    <n v="2"/>
    <s v="Real Madrid"/>
    <s v="Almería"/>
    <s v="Carlo Ancelotti"/>
    <x v="13"/>
    <m/>
    <b v="0"/>
    <s v="Foul"/>
    <s v="Attacking foul (before goal)"/>
    <n v="50"/>
    <s v="45+5'"/>
    <s v="first"/>
    <d v="2026-01-01T00:00:00"/>
    <s v="Go-ahead / opener"/>
    <n v="3"/>
    <n v="1"/>
    <s v="WIN"/>
    <n v="0"/>
    <n v="5"/>
    <n v="19"/>
    <n v="3"/>
    <s v="José María Sánchez Martínez"/>
    <b v="1"/>
    <s v="Real Madrid"/>
    <s v="The goal by Real Madrid is DISALLOWED on the advice of the video assistant referee due to a foul."/>
    <s v="Explicit VAR wording / ESPN review"/>
    <b v="1"/>
    <s v="https://www.youtube.com/watch?v=N4OOSIKtKUk"/>
  </r>
  <r>
    <n v="31"/>
    <d v="2023-10-21T00:00:00"/>
    <s v="2023-2024"/>
    <n v="10"/>
    <s v="Real Madrid"/>
    <s v="Sevilla"/>
    <s v="Carlo Ancelotti"/>
    <x v="14"/>
    <m/>
    <b v="0"/>
    <s v="Offside"/>
    <s v="Offside - goalscorer"/>
    <n v="4"/>
    <s v="4'"/>
    <s v="first"/>
    <s v="0-0"/>
    <s v="Go-ahead / opener"/>
    <n v="1"/>
    <n v="1"/>
    <s v="DRAW"/>
    <n v="2"/>
    <n v="1"/>
    <n v="14"/>
    <n v="24"/>
    <s v="De Burgos Bengoetxea"/>
    <b v="1"/>
    <s v="Real Madrid"/>
    <s v="The goal by Real Madrid is DISALLOWED on the advice of the video assistant referee due to an offside."/>
    <s v="Explicit VAR wording / ESPN review"/>
    <b v="1"/>
    <s v="https://www.youtube.com/watch?v=6FKYTezTwx4"/>
  </r>
  <r>
    <n v="32"/>
    <d v="2024-02-25T00:00:00"/>
    <s v="2023-2024"/>
    <n v="26"/>
    <s v="Real Madrid"/>
    <s v="Sevilla"/>
    <s v="Carlo Ancelotti"/>
    <x v="15"/>
    <m/>
    <b v="1"/>
    <s v="Foul"/>
    <s v="Attacking foul (before goal)"/>
    <n v="10"/>
    <s v="10'"/>
    <s v="first"/>
    <s v="0-0"/>
    <s v="Go-ahead / opener"/>
    <n v="1"/>
    <n v="0"/>
    <s v="WIN"/>
    <n v="0"/>
    <n v="1"/>
    <n v="15"/>
    <n v="62"/>
    <s v="Isidro Díaz de Mera Escuderos"/>
    <b v="1"/>
    <s v="Real Madrid"/>
    <s v="The Real Madrid players halt their celebrations as referee Isidro Diaz de Mera makes the VAR signal to review the goal, most likely to ascertain if there was a foul in the build-up play."/>
    <s v="Explicit VAR wording / ESPN review"/>
    <b v="1"/>
    <s v="https://www.youtube.com/watch?v=qVURhidDo7o"/>
  </r>
  <r>
    <n v="33"/>
    <d v="2024-10-26T00:00:00"/>
    <s v="2024-2025"/>
    <n v="11"/>
    <s v="Real Madrid"/>
    <s v="FC Barcelona"/>
    <s v="Carlo Ancelotti"/>
    <x v="16"/>
    <m/>
    <b v="1"/>
    <s v="Offside"/>
    <s v="Offside - goalscorer"/>
    <n v="30"/>
    <s v="30'"/>
    <s v="first"/>
    <s v="0-0"/>
    <s v="Go-ahead / opener"/>
    <n v="0"/>
    <n v="4"/>
    <s v="LOSS"/>
    <n v="0"/>
    <n v="2"/>
    <n v="1"/>
    <n v="24"/>
    <s v="José María Sánchez Martínez"/>
    <b v="0"/>
    <s v="FC Barcelona"/>
    <s v="The referee looks satisfied after his VAR review and duly disallows the goal for offside. The Real Madrid players look gutted."/>
    <s v="Explicit VAR wording / ESPN review"/>
    <b v="1"/>
    <s v="https://www.youtube.com/watch?v=Hf9pXbnWIK8"/>
  </r>
  <r>
    <n v="34"/>
    <d v="2024-12-04T00:00:00"/>
    <s v="2024-2025"/>
    <n v="19"/>
    <s v="Real Madrid"/>
    <s v="Athletic Club"/>
    <s v="Carlo Ancelotti"/>
    <x v="16"/>
    <m/>
    <b v="0"/>
    <s v="Offside"/>
    <s v="Offside - goalscorer"/>
    <n v="14"/>
    <s v="14'"/>
    <s v="first"/>
    <s v="0-0"/>
    <s v="Go-ahead / opener"/>
    <n v="1"/>
    <n v="2"/>
    <s v="LOSS"/>
    <n v="1"/>
    <n v="2"/>
    <n v="4"/>
    <n v="33"/>
    <s v="José María Sánchez Martínez"/>
    <b v="0"/>
    <s v="FC Barcelona"/>
    <s v="The goal by Real Madrid won't count as it has been disallowed due to offside on the advice of the video assistant referee!"/>
    <s v="Explicit VAR wording / ESPN review"/>
    <b v="1"/>
    <s v="https://www.youtube.com/watch?v=ytP7vTRXb6o"/>
  </r>
  <r>
    <n v="35"/>
    <d v="2025-01-03T00:00:00"/>
    <s v="2024-2025"/>
    <n v="12"/>
    <s v="Real Madrid"/>
    <s v="Valencia"/>
    <s v="Carlo Ancelotti"/>
    <x v="16"/>
    <m/>
    <b v="0"/>
    <s v="Offside"/>
    <s v="Offside - goalscorer"/>
    <n v="60"/>
    <s v="60'"/>
    <s v="second"/>
    <s v="0-1"/>
    <s v="Equaliser"/>
    <n v="2"/>
    <n v="1"/>
    <s v="WIN"/>
    <n v="0"/>
    <n v="2"/>
    <n v="19"/>
    <n v="40"/>
    <s v="César Soto Grado"/>
    <b v="0"/>
    <s v="FC Barcelona"/>
    <s v="The goal by Real Madrid is DISALLOWED on the advice of the video assistant referee due to an offside."/>
    <s v="Explicit VAR wording / ESPN review"/>
    <b v="1"/>
    <s v="https://www.youtube.com/watch?v=GdR0KLwAl6w"/>
  </r>
  <r>
    <n v="36"/>
    <d v="2025-01-19T00:00:00"/>
    <s v="2024-2025"/>
    <n v="20"/>
    <s v="Real Madrid"/>
    <s v="Las Palmas"/>
    <s v="Carlo Ancelotti"/>
    <x v="16"/>
    <m/>
    <b v="1"/>
    <s v="Offside"/>
    <s v="Offside - goalscorer"/>
    <n v="42"/>
    <s v="42'"/>
    <s v="first"/>
    <d v="2026-03-01T00:00:00"/>
    <s v="Extend lead"/>
    <n v="4"/>
    <n v="1"/>
    <s v="WIN"/>
    <n v="0"/>
    <n v="2"/>
    <n v="14"/>
    <n v="43"/>
    <s v="Alejandro Quintero González"/>
    <b v="0"/>
    <s v="FC Barcelona"/>
    <s v="Celebrations are cut short for Real Madrid as the referee indicates NO GOAL after the VAR review shows it was offside!"/>
    <s v="Explicit VAR wording / ESPN review"/>
    <b v="1"/>
    <s v="https://www.youtube.com/watch?v=fzM7XYNlv-g"/>
  </r>
  <r>
    <n v="37"/>
    <d v="2025-01-19T00:00:00"/>
    <s v="2024-2025"/>
    <n v="20"/>
    <s v="Real Madrid"/>
    <s v="Las Palmas"/>
    <s v="Carlo Ancelotti"/>
    <x v="17"/>
    <s v="Antonio Rüdiger"/>
    <b v="1"/>
    <s v="Offside"/>
    <s v="Offside - teammate in build-up"/>
    <n v="73"/>
    <s v="73'"/>
    <s v="second"/>
    <d v="2026-04-01T00:00:00"/>
    <s v="Extend lead"/>
    <n v="4"/>
    <n v="1"/>
    <s v="WIN"/>
    <n v="0"/>
    <n v="2"/>
    <n v="14"/>
    <n v="43"/>
    <s v="Alejandro Quintero González"/>
    <b v="0"/>
    <s v="FC Barcelona"/>
    <s v="The goal by Real Madrid won't count as it has been disallowed due to offside on the advice of the video assistant referee!"/>
    <s v="Explicit VAR wording / ESPN review"/>
    <b v="1"/>
    <s v="https://www.youtube.com/watch?v=fzM7XYNlv-g"/>
  </r>
  <r>
    <n v="38"/>
    <d v="2025-01-19T00:00:00"/>
    <s v="2024-2025"/>
    <n v="20"/>
    <s v="Real Madrid"/>
    <s v="Las Palmas"/>
    <s v="Carlo Ancelotti"/>
    <x v="14"/>
    <s v="Lucas Vázquez"/>
    <b v="1"/>
    <s v="Offside"/>
    <s v="Offside - teammate in build-up"/>
    <n v="86"/>
    <s v="86'"/>
    <s v="second"/>
    <d v="2026-04-01T00:00:00"/>
    <s v="Extend lead"/>
    <n v="4"/>
    <n v="1"/>
    <s v="WIN"/>
    <n v="0"/>
    <n v="2"/>
    <n v="14"/>
    <n v="43"/>
    <s v="Alejandro Quintero González"/>
    <b v="0"/>
    <s v="FC Barcelona"/>
    <s v="The goal by Real Madrid is DISALLOWED on the advice of the video assistant referee due to an offside."/>
    <s v="Explicit VAR wording / ESPN review"/>
    <b v="1"/>
    <s v="https://www.youtube.com/watch?v=fzM7XYNlv-g"/>
  </r>
  <r>
    <n v="39"/>
    <d v="2025-04-05T00:00:00"/>
    <s v="2024-2025"/>
    <n v="30"/>
    <s v="Real Madrid"/>
    <s v="Valencia"/>
    <s v="Carlo Ancelotti"/>
    <x v="18"/>
    <s v="Kylian Mbappé"/>
    <b v="1"/>
    <s v="Offside"/>
    <s v="Offside - teammate in build-up"/>
    <n v="21"/>
    <s v="21'"/>
    <s v="first"/>
    <s v="0-1"/>
    <s v="Equaliser"/>
    <n v="1"/>
    <n v="2"/>
    <s v="LOSS"/>
    <n v="1"/>
    <n v="2"/>
    <n v="16"/>
    <n v="63"/>
    <s v="Guillermo Cuadra Fernández"/>
    <b v="0"/>
    <s v="FC Barcelona"/>
    <s v="Celebrations are cut short for Real Madrid as the referee indicates NO GOAL after the VAR review shows it was offside!"/>
    <s v="Explicit VAR wording / ESPN review"/>
    <b v="1"/>
    <s v="https://www.youtube.com/watch?v=qt3QcyaBhmI"/>
  </r>
  <r>
    <n v="40"/>
    <d v="2025-04-13T00:00:00"/>
    <s v="2024-2025"/>
    <n v="31"/>
    <s v="Real Madrid"/>
    <s v="Deportivo Alavés"/>
    <s v="Carlo Ancelotti"/>
    <x v="19"/>
    <m/>
    <b v="0"/>
    <s v="Foul"/>
    <s v="Attacking foul (before goal)"/>
    <n v="19"/>
    <s v="19'"/>
    <s v="first"/>
    <s v="0-0"/>
    <s v="Go-ahead / opener"/>
    <n v="1"/>
    <n v="0"/>
    <s v="WIN"/>
    <n v="0"/>
    <n v="2"/>
    <n v="17"/>
    <n v="63"/>
    <s v="César Soto Grado"/>
    <b v="0"/>
    <s v="FC Barcelona"/>
    <s v="Celebrations are cut short for Real Madrid as the referee indicates NO GOAL after the VAR review due to a foul in the build-up play."/>
    <s v="Explicit VAR wording / ESPN review"/>
    <b v="1"/>
    <s v="https://www.youtube.com/watch?v=DilVQFNnBLI"/>
  </r>
  <r>
    <n v="41"/>
    <d v="2025-04-20T00:00:00"/>
    <s v="2024-2025"/>
    <n v="32"/>
    <s v="Real Madrid"/>
    <s v="Athletic Club"/>
    <s v="Carlo Ancelotti"/>
    <x v="8"/>
    <s v="Endrick"/>
    <b v="1"/>
    <s v="Offside"/>
    <s v="Offside - teammate in build-up"/>
    <n v="79"/>
    <s v="79'"/>
    <s v="second"/>
    <s v="0-0"/>
    <s v="Go-ahead / opener"/>
    <n v="1"/>
    <n v="0"/>
    <s v="WIN"/>
    <n v="0"/>
    <n v="2"/>
    <n v="4"/>
    <n v="66"/>
    <s v="Juan Martínez Munuera"/>
    <b v="0"/>
    <s v="FC Barcelona"/>
    <s v="Hold on! There’s a VAR review to see whether there was an offside in the build up to the goal. The referee is checking now. The Real Madrid players aren’t happy."/>
    <s v="Explicit VAR wording / ESPN review"/>
    <b v="1"/>
    <s v="https://www.youtube.com/watch?v=wO5LvEoaKBY"/>
  </r>
  <r>
    <n v="42"/>
    <d v="2025-08-30T00:00:00"/>
    <s v="2025-2026"/>
    <n v="3"/>
    <s v="Real Madrid"/>
    <s v="Mallorca"/>
    <s v="Xabi Alonso"/>
    <x v="20"/>
    <m/>
    <b v="1"/>
    <s v="Handball"/>
    <s v="Handball (attacking team)"/>
    <n v="55"/>
    <s v="55'"/>
    <s v="second"/>
    <d v="2026-02-01T00:00:00"/>
    <s v="Extend lead"/>
    <n v="2"/>
    <n v="1"/>
    <s v="WIN"/>
    <n v="0"/>
    <n v="3"/>
    <n v="18"/>
    <n v="6"/>
    <s v="José María Sánchez Martínez"/>
    <b v="0"/>
    <s v="FC Barcelona"/>
    <s v="The Real Madrid players halt their celebrations as referee Jose Sanchez makes the VAR signal to review the goal, most likely to ascertain if there was a handball in the build-up play."/>
    <s v="Explicit VAR wording / ESPN review"/>
    <b v="1"/>
    <s v="https://www.youtube.com/watch?v=2EGTD_d6Ubo"/>
  </r>
  <r>
    <n v="43"/>
    <d v="2025-08-30T00:00:00"/>
    <s v="2025-2026"/>
    <n v="3"/>
    <s v="Real Madrid"/>
    <s v="Mallorca"/>
    <s v="Xabi Alonso"/>
    <x v="16"/>
    <m/>
    <b v="1"/>
    <s v="Offside"/>
    <s v="Offside - goalscorer"/>
    <n v="46"/>
    <s v="45+1'"/>
    <s v="first"/>
    <d v="2026-02-01T00:00:00"/>
    <s v="Extend lead"/>
    <n v="2"/>
    <n v="1"/>
    <s v="WIN"/>
    <n v="0"/>
    <n v="3"/>
    <n v="18"/>
    <n v="6"/>
    <s v="José María Sánchez Martínez"/>
    <b v="0"/>
    <s v="FC Barcelona"/>
    <s v="The goal by Real Madrid won't count as it has been disallowed due to offside on the advice of the video assistant referee!"/>
    <s v="Explicit VAR wording / ESPN review"/>
    <b v="1"/>
    <s v="https://www.youtube.com/watch?v=2EGTD_d6Ubo"/>
  </r>
  <r>
    <n v="44"/>
    <d v="2025-08-30T00:00:00"/>
    <s v="2025-2026"/>
    <n v="3"/>
    <s v="Real Madrid"/>
    <s v="Mallorca"/>
    <s v="Xabi Alonso"/>
    <x v="16"/>
    <m/>
    <b v="1"/>
    <s v="Offside"/>
    <s v="Offside - goalscorer"/>
    <n v="7"/>
    <s v="7'"/>
    <s v="first"/>
    <s v="0-0"/>
    <s v="Go-ahead / opener"/>
    <n v="2"/>
    <n v="1"/>
    <s v="WIN"/>
    <n v="0"/>
    <n v="3"/>
    <n v="18"/>
    <n v="6"/>
    <s v="José María Sánchez Martínez"/>
    <b v="0"/>
    <s v="FC Barcelona"/>
    <s v="Celebrations are cut short for Real Madrid as the referee indicates NO GOAL after the VAR review shows it was offside!"/>
    <s v="Explicit VAR wording / ESPN review"/>
    <b v="1"/>
    <s v="https://www.youtube.com/watch?v=2EGTD_d6Ubo"/>
  </r>
  <r>
    <n v="45"/>
    <d v="2025-09-13T00:00:00"/>
    <s v="2025-2026"/>
    <n v="4"/>
    <s v="Real Madrid"/>
    <s v="Real Sociedad"/>
    <s v="Xabi Alonso"/>
    <x v="20"/>
    <s v="Kylian Mbappé"/>
    <b v="0"/>
    <s v="Offside"/>
    <s v="Offside - teammate in build-up"/>
    <n v="2"/>
    <s v="2'"/>
    <s v="first"/>
    <s v="0-0"/>
    <s v="Go-ahead / opener"/>
    <n v="2"/>
    <n v="1"/>
    <s v="WIN"/>
    <n v="0"/>
    <n v="1"/>
    <n v="17"/>
    <n v="9"/>
    <s v="Jesús Gil Manzano"/>
    <b v="0"/>
    <s v="FC Barcelona"/>
    <s v="The goal by Real Madrid is DISALLOWED on the advice of the video assistant referee due to an offside."/>
    <s v="Explicit VAR wording / ESPN review"/>
    <b v="1"/>
    <s v="https://www.youtube.com/watch?v=_xXdVTX7NXs"/>
  </r>
  <r>
    <n v="46"/>
    <d v="2025-10-26T00:00:00"/>
    <s v="2025-2026"/>
    <n v="10"/>
    <s v="Real Madrid"/>
    <s v="FC Barcelona"/>
    <s v="Xabi Alonso"/>
    <x v="16"/>
    <m/>
    <b v="1"/>
    <s v="Offside"/>
    <s v="Offside - goalscorer"/>
    <n v="12"/>
    <s v="12'"/>
    <s v="first"/>
    <s v="0-0"/>
    <s v="Go-ahead / opener"/>
    <n v="2"/>
    <n v="1"/>
    <s v="WIN"/>
    <n v="0"/>
    <n v="1"/>
    <n v="2"/>
    <n v="24"/>
    <s v="César Soto Grado"/>
    <b v="0"/>
    <s v="FC Barcelona"/>
    <s v="Celebrations are cut short for Real Madrid as the referee indicates NO GOAL after the VAR review shows it was offside!"/>
    <s v="Explicit VAR wording / ESPN review"/>
    <b v="1"/>
    <s v="https://www.youtube.com/watch?v=FNCgwwHZ2l8"/>
  </r>
  <r>
    <n v="47"/>
    <d v="2025-11-30T00:00:00"/>
    <s v="2025-2026"/>
    <n v="14"/>
    <s v="Real Madrid"/>
    <s v="Girona"/>
    <s v="Xabi Alonso"/>
    <x v="16"/>
    <m/>
    <b v="0"/>
    <s v="Handball"/>
    <s v="Handball (attacking team)"/>
    <n v="40"/>
    <s v="40'"/>
    <s v="first"/>
    <s v="0-0"/>
    <s v="Go-ahead / opener"/>
    <n v="1"/>
    <n v="1"/>
    <s v="DRAW"/>
    <n v="2"/>
    <n v="3"/>
    <n v="18"/>
    <n v="32"/>
    <s v="De Burgos Bengoetxea"/>
    <b v="0"/>
    <s v="FC Barcelona"/>
    <s v="After what seems an eternity, referee Ricardo De Burgos decides there was a handball after using VAR to review the goal! NO GOAL for Real Madrid, play to continue."/>
    <s v="Explicit VAR wording / ESPN review"/>
    <b v="1"/>
    <s v="https://www.youtube.com/watch?v=uIr56A1JnoQ"/>
  </r>
  <r>
    <n v="48"/>
    <d v="2026-08-26T00:00:00"/>
    <s v="2026-2027"/>
    <n v="1"/>
    <s v="Real Madrid"/>
    <s v="Real Sociedad"/>
    <s v="José Mourinho"/>
    <x v="21"/>
    <s v="Carlos Espí"/>
    <b v="1"/>
    <s v="Offside"/>
    <s v="Offside - teammate in build-up"/>
    <n v="90"/>
    <s v="90'"/>
    <s v="second"/>
    <d v="2026-04-01T00:00:00"/>
    <s v="Extend lead"/>
    <n v="4"/>
    <n v="1"/>
    <s v="WIN"/>
    <n v="0"/>
    <n v="7"/>
    <n v="19"/>
    <n v="3"/>
    <s v="Mateo Busquets Ferrer"/>
    <b v="0"/>
    <s v="In progress (leader: FC Barcelona)"/>
    <s v="Celebrations are cut short for Real Madrid as the referee indicates NO GOAL after the VAR review shows it was offside!"/>
    <s v="Explicit VAR wording / ESPN review"/>
    <b v="1"/>
    <s v="https://www.youtube.com/watch?v=xssDr9wNr_8"/>
  </r>
  <r>
    <n v="49"/>
    <d v="2026-09-04T00:00:00"/>
    <s v="2026-2027"/>
    <n v="4"/>
    <s v="Real Madrid"/>
    <s v="Real Betis"/>
    <s v="José Mourinho"/>
    <x v="22"/>
    <m/>
    <b v="0"/>
    <s v="Offside"/>
    <s v="Offside - goalscorer"/>
    <n v="87"/>
    <s v="87'"/>
    <s v="second"/>
    <s v="0-1"/>
    <s v="Equaliser"/>
    <n v="0"/>
    <n v="1"/>
    <s v="LOSS"/>
    <n v="1"/>
    <n v="2"/>
    <n v="7"/>
    <n v="9"/>
    <s v="Alejandro Hernández Hernández"/>
    <b v="0"/>
    <s v="In progress (leader: FC Barcelona)"/>
    <s v="Here comes the VAR verdict. NO GOAL for Real Madrid due to an offside in the build-up play."/>
    <s v="Explicit VAR wording / ESPN review"/>
    <b v="1"/>
    <s v="https://www.youtube.com/watch?v=Ls7lgDXcZp8"/>
  </r>
  <r>
    <n v="50"/>
    <d v="2026-10-10T00:00:00"/>
    <s v="2026-2027"/>
    <n v="8"/>
    <s v="Real Madrid"/>
    <s v="Villarreal"/>
    <s v="José Mourinho"/>
    <x v="8"/>
    <m/>
    <b v="1"/>
    <s v="Foul"/>
    <s v="Attacking foul (before goal)"/>
    <n v="71"/>
    <s v="71'"/>
    <s v="second"/>
    <d v="2000-01-01T00:00:00"/>
    <s v="Extend lead"/>
    <n v="1"/>
    <n v="0"/>
    <s v="WIN"/>
    <n v="0"/>
    <n v="4"/>
    <n v="11"/>
    <n v="15"/>
    <s v="Isidro Díaz de Mera Escuderos"/>
    <b v="0"/>
    <s v="In progress (leader: FC Barcelona)"/>
    <s v="The Real Madrid players’ celebrations are quickly cut short after referee Isidro Diaz signals NO GOAL following the VAR review due to a foul."/>
    <s v="Explicit VAR wording / ESPN review"/>
    <b v="1"/>
    <s v="https://www.youtube.com/watch?v=jntC-JcFM3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d v="2018-09-26T00:00:00"/>
    <s v="2018-2019"/>
    <n v="6"/>
    <s v="Real Madrid"/>
    <s v="Sevilla"/>
    <s v="Julen Lopetegui"/>
    <s v="Luka Modric"/>
    <m/>
    <b v="0"/>
    <x v="0"/>
    <s v="Offside - goalscorer"/>
    <n v="54"/>
    <s v="54'"/>
    <s v="second"/>
    <s v="0-3"/>
    <s v="Reduce deficit"/>
    <n v="0"/>
    <n v="3"/>
    <s v="LOSS"/>
    <n v="0"/>
    <n v="2"/>
    <n v="10"/>
    <n v="13"/>
    <s v="Alejandro Hernández Hernández"/>
    <b v="0"/>
    <s v="FC Barcelona"/>
    <s v="Referee Alejandro Hernandez has changed his mind after the VAR review and the goal is chalked off for offside!"/>
    <s v="Explicit VAR wording / ESPN review"/>
  </r>
  <r>
    <n v="2"/>
    <d v="2018-10-20T00:00:00"/>
    <s v="2018-2019"/>
    <n v="9"/>
    <s v="Real Madrid"/>
    <s v="Levante"/>
    <s v="Julen Lopetegui"/>
    <s v="Marco Asensio"/>
    <m/>
    <b v="1"/>
    <x v="0"/>
    <s v="Offside - player not identified"/>
    <n v="18"/>
    <s v="18'"/>
    <s v="first"/>
    <s v="0-2"/>
    <s v="Reduce deficit"/>
    <n v="1"/>
    <n v="2"/>
    <s v="LOSS"/>
    <n v="1"/>
    <n v="5"/>
    <n v="11"/>
    <n v="14"/>
    <s v="Guillermo Cuadra Fernández"/>
    <b v="0"/>
    <s v="FC Barcelona"/>
    <m/>
    <s v="Explicit VAR wording / ESPN review"/>
  </r>
  <r>
    <n v="3"/>
    <d v="2019-03-16T00:00:00"/>
    <s v="2018-2019"/>
    <n v="28"/>
    <s v="Real Madrid"/>
    <s v="Celta de Vigo"/>
    <s v="Zinedine Zidane"/>
    <s v="Luka Modric"/>
    <m/>
    <b v="1"/>
    <x v="0"/>
    <s v="Offside - goalscorer"/>
    <n v="56"/>
    <s v="56'"/>
    <s v="second"/>
    <s v="0-0"/>
    <s v="Go-ahead / opener"/>
    <n v="2"/>
    <n v="0"/>
    <s v="WIN"/>
    <n v="0"/>
    <n v="3"/>
    <n v="18"/>
    <n v="51"/>
    <s v="Juan Martínez Munuera"/>
    <b v="0"/>
    <s v="FC Barcelona"/>
    <s v="After what seems an eternity, referee Juan Martinez Munuera decides there was an offside after using VAR to review the goal! NO GOAL for Real Madrid, play to continue."/>
    <s v="Explicit VAR wording / ESPN review"/>
  </r>
  <r>
    <n v="4"/>
    <d v="2019-09-25T00:00:00"/>
    <s v="2019-2020"/>
    <n v="6"/>
    <s v="Real Madrid"/>
    <s v="Osasuna"/>
    <s v="Zinedine Zidane"/>
    <s v="Luka Jovic"/>
    <m/>
    <b v="1"/>
    <x v="0"/>
    <s v="Offside - goalscorer"/>
    <n v="58"/>
    <s v="58'"/>
    <s v="second"/>
    <d v="2000-01-01T00:00:00"/>
    <s v="Extend lead"/>
    <n v="2"/>
    <n v="0"/>
    <s v="WIN"/>
    <n v="0"/>
    <n v="4"/>
    <n v="11"/>
    <n v="11"/>
    <s v="Mateu Lahoz"/>
    <b v="1"/>
    <s v="Real Madrid"/>
    <s v="Here comes the VAR decision. NO GOAL, the ref disallows it due to offside."/>
    <s v="Explicit VAR wording / ESPN review"/>
  </r>
  <r>
    <n v="5"/>
    <d v="2019-11-02T00:00:00"/>
    <s v="2019-2020"/>
    <n v="12"/>
    <s v="Real Madrid"/>
    <s v="Real Betis"/>
    <s v="Zinedine Zidane"/>
    <s v="Eden Hazard"/>
    <m/>
    <b v="1"/>
    <x v="0"/>
    <s v="Offside - goalscorer"/>
    <n v="8"/>
    <s v="8'"/>
    <s v="first"/>
    <s v="0-0"/>
    <s v="Go-ahead / opener"/>
    <n v="0"/>
    <n v="0"/>
    <s v="DRAW"/>
    <n v="2"/>
    <n v="2"/>
    <n v="16"/>
    <n v="21"/>
    <s v="José María Sánchez Martínez"/>
    <b v="1"/>
    <s v="Real Madrid"/>
    <s v="The goal by Real Madrid won’t count as referee Jose Sanchez disallows the goal on the advice of the video assistant referee."/>
    <s v="Explicit VAR wording / ESPN review"/>
  </r>
  <r>
    <n v="6"/>
    <d v="2020-01-26T00:00:00"/>
    <s v="2019-2020"/>
    <n v="21"/>
    <s v="Real Madrid"/>
    <s v="Real Valladolid"/>
    <s v="Zinedine Zidane"/>
    <s v="Casemiro"/>
    <m/>
    <b v="0"/>
    <x v="0"/>
    <s v="Offside - player not identified"/>
    <n v="12"/>
    <s v="12'"/>
    <s v="first"/>
    <s v="0-0"/>
    <s v="Go-ahead / opener"/>
    <n v="1"/>
    <n v="0"/>
    <s v="WIN"/>
    <n v="0"/>
    <n v="2"/>
    <n v="16"/>
    <n v="43"/>
    <s v="De Burgos Bengoetxea"/>
    <b v="1"/>
    <s v="Real Madrid"/>
    <s v="The goal by Real Madrid won’t count as referee Ricardo de Burgos Bengoetxea disallows the goal on the advice of the video assistant referee."/>
    <s v="Explicit VAR wording / ESPN review"/>
  </r>
  <r>
    <n v="7"/>
    <d v="2020-02-16T00:00:00"/>
    <s v="2019-2020"/>
    <n v="24"/>
    <s v="Real Madrid"/>
    <s v="Celta de Vigo"/>
    <s v="Zinedine Zidane"/>
    <s v="Sergio Ramos"/>
    <m/>
    <b v="1"/>
    <x v="0"/>
    <s v="Offside - goalscorer"/>
    <n v="49"/>
    <s v="49'"/>
    <s v="second"/>
    <s v="0-1"/>
    <s v="Equaliser"/>
    <n v="2"/>
    <n v="2"/>
    <s v="DRAW"/>
    <n v="2"/>
    <n v="1"/>
    <n v="18"/>
    <n v="52"/>
    <s v="Javier Alberola Rojas"/>
    <b v="1"/>
    <s v="Real Madrid"/>
    <s v="The goal by Real Madrid is DISALLOWED on the advice of the video assistant referee due to an offside."/>
    <s v="Explicit VAR wording / ESPN review"/>
  </r>
  <r>
    <n v="8"/>
    <d v="2020-07-16T00:00:00"/>
    <s v="2019-2020"/>
    <n v="37"/>
    <s v="Real Madrid"/>
    <s v="Villarreal"/>
    <s v="Zinedine Zidane"/>
    <s v="Marco Asensio"/>
    <m/>
    <b v="1"/>
    <x v="1"/>
    <s v="Handball (attacking team)"/>
    <n v="96"/>
    <s v="90+6'"/>
    <s v="second"/>
    <d v="2026-02-01T00:00:00"/>
    <s v="Extend lead"/>
    <n v="2"/>
    <n v="1"/>
    <s v="WIN"/>
    <n v="0"/>
    <n v="1"/>
    <n v="5"/>
    <n v="83"/>
    <s v="Alejandro Hernández Hernández"/>
    <b v="1"/>
    <s v="Real Madrid"/>
    <s v="After what seems an eternity, referee Alejandro Hernandez decides there was a handball after using VAR to review the goal! NO GOAL for Real Madrid, play to continue."/>
    <s v="Explicit VAR wording / ESPN review"/>
  </r>
  <r>
    <n v="9"/>
    <d v="2020-10-04T00:00:00"/>
    <s v="2020-2021"/>
    <n v="5"/>
    <s v="Real Madrid"/>
    <s v="Levante"/>
    <s v="Zinedine Zidane"/>
    <s v="Sergio Ramos"/>
    <m/>
    <b v="0"/>
    <x v="2"/>
    <s v="Offside - player not identified"/>
    <n v="69"/>
    <s v="69'"/>
    <s v="second"/>
    <d v="2000-01-01T00:00:00"/>
    <s v="Extend lead"/>
    <n v="2"/>
    <n v="0"/>
    <s v="WIN"/>
    <n v="0"/>
    <n v="4"/>
    <n v="18"/>
    <n v="7"/>
    <s v="José Luis Munuera Montero"/>
    <b v="0"/>
    <s v="Atlético de Madrid"/>
    <s v="The Real Madrid players’ celebrations are quickly cut short after referee Jose Luis Munuera Montero signals NO GOAL following the VAR review due to an offside."/>
    <s v="Explicit VAR wording / ESPN review"/>
  </r>
  <r>
    <n v="10"/>
    <d v="2021-02-14T00:00:00"/>
    <s v="2020-2021"/>
    <n v="23"/>
    <s v="Real Madrid"/>
    <s v="Valencia"/>
    <s v="Zinedine Zidane"/>
    <s v="Ferland Mendy"/>
    <m/>
    <b v="1"/>
    <x v="0"/>
    <s v="Offside - goalscorer"/>
    <n v="62"/>
    <s v="62'"/>
    <s v="second"/>
    <d v="2000-02-01T00:00:00"/>
    <s v="Extend lead"/>
    <n v="2"/>
    <n v="0"/>
    <s v="WIN"/>
    <n v="0"/>
    <n v="3"/>
    <n v="12"/>
    <n v="46"/>
    <s v="José María Sánchez Martínez"/>
    <b v="0"/>
    <s v="Atlético de Madrid"/>
    <s v="The goal by Real Madrid won't count as it has been disallowed due to offside on the advice of the video assistant referee!"/>
    <s v="Explicit VAR wording / ESPN review"/>
  </r>
  <r>
    <n v="11"/>
    <d v="2021-04-03T00:00:00"/>
    <s v="2020-2021"/>
    <n v="29"/>
    <s v="Real Madrid"/>
    <s v="Eibar"/>
    <s v="Zinedine Zidane"/>
    <s v="Marco Asensio"/>
    <m/>
    <b v="1"/>
    <x v="0"/>
    <s v="Offside - player not identified"/>
    <n v="38"/>
    <s v="38'"/>
    <s v="first"/>
    <s v="0-0"/>
    <s v="Go-ahead / opener"/>
    <n v="2"/>
    <n v="0"/>
    <s v="WIN"/>
    <n v="0"/>
    <n v="3"/>
    <n v="19"/>
    <n v="60"/>
    <s v="Isidro Díaz de Mera Escuderos"/>
    <b v="0"/>
    <s v="Atlético de Madrid"/>
    <s v="The goal by Real Madrid is DISALLOWED on the advice of the video assistant referee due to an offside."/>
    <s v="Explicit VAR wording / ESPN review"/>
  </r>
  <r>
    <n v="12"/>
    <d v="2021-05-09T00:00:00"/>
    <s v="2020-2021"/>
    <n v="35"/>
    <s v="Real Madrid"/>
    <s v="Sevilla"/>
    <s v="Zinedine Zidane"/>
    <s v="Karim Benzema"/>
    <s v="Vinícius Júnior tries a through ball, but Álvaro Odriozola"/>
    <b v="1"/>
    <x v="0"/>
    <s v="Offside - teammate in build-up"/>
    <n v="12"/>
    <s v="12'"/>
    <s v="first"/>
    <s v="0-0"/>
    <s v="Go-ahead / opener"/>
    <n v="2"/>
    <n v="2"/>
    <s v="DRAW"/>
    <n v="2"/>
    <n v="3"/>
    <n v="4"/>
    <n v="74"/>
    <s v="Juan Martínez Munuera"/>
    <b v="0"/>
    <s v="Atlético de Madrid"/>
    <s v="The Real Madrid players’ celebrations are quickly cut short after referee Juan Martinez Munuera signals NO GOAL following the VAR review due to an offside."/>
    <s v="Explicit VAR wording / ESPN review"/>
  </r>
  <r>
    <n v="13"/>
    <d v="2021-05-22T00:00:00"/>
    <s v="2020-2021"/>
    <n v="38"/>
    <s v="Real Madrid"/>
    <s v="Villarreal"/>
    <s v="Zinedine Zidane"/>
    <s v="Karim Benzema"/>
    <m/>
    <b v="1"/>
    <x v="0"/>
    <s v="Offside - player not identified"/>
    <n v="58"/>
    <s v="58'"/>
    <s v="second"/>
    <s v="0-1"/>
    <s v="Equaliser"/>
    <n v="2"/>
    <n v="1"/>
    <s v="WIN"/>
    <n v="0"/>
    <n v="2"/>
    <n v="6"/>
    <n v="81"/>
    <s v="José Luis Munuera Montero"/>
    <b v="0"/>
    <s v="Atlético de Madrid"/>
    <s v="Here comes the VAR verdict. NO GOAL for Real Madrid due to an offside in the build-up play."/>
    <s v="Explicit VAR wording / ESPN review"/>
  </r>
  <r>
    <n v="14"/>
    <d v="2021-09-22T00:00:00"/>
    <s v="2021-2022"/>
    <n v="6"/>
    <s v="Real Madrid"/>
    <s v="Mallorca"/>
    <s v="Carlo Ancelotti"/>
    <s v="Karim Benzema"/>
    <m/>
    <b v="1"/>
    <x v="3"/>
    <s v="Attacking foul (before goal)"/>
    <n v="49"/>
    <s v="49'"/>
    <s v="second"/>
    <d v="2026-03-01T00:00:00"/>
    <s v="Extend lead"/>
    <n v="6"/>
    <n v="1"/>
    <s v="WIN"/>
    <n v="0"/>
    <n v="2"/>
    <n v="10"/>
    <n v="13"/>
    <s v="Javier Alberola Rojas"/>
    <b v="1"/>
    <s v="Real Madrid"/>
    <s v="Here comes the VAR verdict. NO GOAL for Real Madrid due to a foul in the build-up play."/>
    <s v="Explicit VAR wording / ESPN review"/>
  </r>
  <r>
    <n v="15"/>
    <d v="2022-02-26T00:00:00"/>
    <s v="2021-2022"/>
    <n v="26"/>
    <s v="Real Madrid"/>
    <s v="Rayo Vallecano"/>
    <s v="Carlo Ancelotti"/>
    <s v="Casemiro"/>
    <m/>
    <b v="0"/>
    <x v="0"/>
    <s v="Offside - goalscorer"/>
    <n v="39"/>
    <s v="39'"/>
    <s v="first"/>
    <s v="0-0"/>
    <s v="Go-ahead / opener"/>
    <n v="1"/>
    <n v="0"/>
    <s v="WIN"/>
    <n v="0"/>
    <n v="1"/>
    <n v="12"/>
    <n v="57"/>
    <s v="Isidro Díaz de Mera Escuderos"/>
    <b v="1"/>
    <s v="Real Madrid"/>
    <s v="After what seems an eternity, referee Isidro Diaz de Mera decides there was an offside after using VAR to review the goal! NO GOAL for Real Madrid, play to continue."/>
    <s v="Explicit VAR wording / ESPN review"/>
  </r>
  <r>
    <n v="16"/>
    <d v="2022-03-05T00:00:00"/>
    <s v="2021-2022"/>
    <n v="27"/>
    <s v="Real Madrid"/>
    <s v="Real Sociedad"/>
    <s v="Carlo Ancelotti"/>
    <s v="Karim Benzema"/>
    <m/>
    <b v="1"/>
    <x v="0"/>
    <s v="Offside - goalscorer"/>
    <n v="69"/>
    <s v="69'"/>
    <s v="second"/>
    <d v="2026-02-01T00:00:00"/>
    <s v="Extend lead"/>
    <n v="4"/>
    <n v="1"/>
    <s v="WIN"/>
    <n v="0"/>
    <n v="1"/>
    <n v="6"/>
    <n v="60"/>
    <s v="Jesús Gil Manzano"/>
    <b v="1"/>
    <s v="Real Madrid"/>
    <s v="Here comes the VAR verdict. NO GOAL for Real Madrid due to an offside in the build-up play."/>
    <s v="Explicit VAR wording / ESPN review"/>
  </r>
  <r>
    <n v="17"/>
    <d v="2022-04-17T00:00:00"/>
    <s v="2021-2022"/>
    <n v="32"/>
    <s v="Real Madrid"/>
    <s v="Sevilla"/>
    <s v="Carlo Ancelotti"/>
    <s v="Vinícius Júnior"/>
    <m/>
    <b v="0"/>
    <x v="1"/>
    <s v="Handball (attacking team)"/>
    <n v="76"/>
    <s v="76'"/>
    <s v="second"/>
    <d v="2026-01-02T00:00:00"/>
    <s v="Equaliser"/>
    <n v="3"/>
    <n v="2"/>
    <s v="WIN"/>
    <n v="0"/>
    <n v="1"/>
    <n v="3"/>
    <n v="72"/>
    <s v="Guillermo Cuadra Fernández"/>
    <b v="1"/>
    <s v="Real Madrid"/>
    <s v="Here comes the VAR verdict. NO GOAL for Real Madrid due to a handball in the build-up play."/>
    <s v="Explicit VAR wording / ESPN review"/>
  </r>
  <r>
    <n v="18"/>
    <d v="2022-04-30T00:00:00"/>
    <s v="2021-2022"/>
    <n v="34"/>
    <s v="Real Madrid"/>
    <s v="Espanyol"/>
    <s v="Carlo Ancelotti"/>
    <s v="Isco"/>
    <m/>
    <b v="1"/>
    <x v="0"/>
    <s v="Offside - goalscorer"/>
    <n v="72"/>
    <s v="72'"/>
    <s v="second"/>
    <d v="2000-03-01T00:00:00"/>
    <s v="Extend lead"/>
    <n v="4"/>
    <n v="0"/>
    <s v="WIN"/>
    <n v="0"/>
    <n v="1"/>
    <n v="13"/>
    <n v="78"/>
    <s v="José Luis Munuera Montero"/>
    <b v="1"/>
    <s v="Real Madrid"/>
    <s v="The referee looks satisfied after his VAR review and duly disallows the goal for offside. The Real Madrid players look gutted."/>
    <s v="Explicit VAR wording / ESPN review"/>
  </r>
  <r>
    <n v="19"/>
    <d v="2022-10-02T00:00:00"/>
    <s v="2022-2023"/>
    <n v="7"/>
    <s v="Real Madrid"/>
    <s v="Osasuna"/>
    <s v="Carlo Ancelotti"/>
    <s v="Karim Benzema"/>
    <m/>
    <b v="1"/>
    <x v="0"/>
    <s v="Offside - goalscorer"/>
    <n v="81"/>
    <s v="81'"/>
    <s v="second"/>
    <d v="2026-01-01T00:00:00"/>
    <s v="Go-ahead / opener"/>
    <n v="1"/>
    <n v="1"/>
    <s v="DRAW"/>
    <n v="2"/>
    <n v="2"/>
    <n v="8"/>
    <n v="18"/>
    <s v="Guillermo Cuadra Fernández"/>
    <b v="0"/>
    <s v="FC Barcelona"/>
    <s v="The goal by Real Madrid is DISALLOWED on the advice of the video assistant referee due to an offside."/>
    <s v="Explicit VAR wording / ESPN review"/>
  </r>
  <r>
    <n v="20"/>
    <d v="2022-10-08T00:00:00"/>
    <s v="2022-2023"/>
    <n v="8"/>
    <s v="Real Madrid"/>
    <s v="Getafe"/>
    <s v="Carlo Ancelotti"/>
    <s v="Rodrygo"/>
    <m/>
    <b v="0"/>
    <x v="0"/>
    <s v="Offside - goalscorer"/>
    <n v="57"/>
    <s v="57'"/>
    <s v="second"/>
    <d v="2000-01-01T00:00:00"/>
    <s v="Extend lead"/>
    <n v="1"/>
    <n v="0"/>
    <s v="WIN"/>
    <n v="0"/>
    <n v="2"/>
    <n v="15"/>
    <n v="19"/>
    <s v="Mateu Lahoz"/>
    <b v="0"/>
    <s v="FC Barcelona"/>
    <s v="Celebrations are cut short for Real Madrid as the referee indicates NO GOAL after the VAR review shows it was offside!"/>
    <s v="Explicit VAR wording / ESPN review"/>
  </r>
  <r>
    <n v="21"/>
    <d v="2022-10-19T00:00:00"/>
    <s v="2022-2023"/>
    <n v="10"/>
    <s v="Real Madrid"/>
    <s v="Elche"/>
    <s v="Carlo Ancelotti"/>
    <s v="Karim Benzema"/>
    <s v="Toni Kroos tries a through ball, but Daniel Carvajal"/>
    <b v="0"/>
    <x v="0"/>
    <s v="Offside - teammate in build-up"/>
    <n v="61"/>
    <s v="61'"/>
    <s v="second"/>
    <d v="2000-01-01T00:00:00"/>
    <s v="Extend lead"/>
    <n v="3"/>
    <n v="0"/>
    <s v="WIN"/>
    <n v="0"/>
    <n v="1"/>
    <n v="20"/>
    <n v="25"/>
    <s v="Jesús Gil Manzano"/>
    <b v="0"/>
    <s v="FC Barcelona"/>
    <s v="The referee looks satisfied after his VAR review and duly disallows the goal for offside. The Real Madrid players look gutted."/>
    <s v="Explicit VAR wording / ESPN review"/>
  </r>
  <r>
    <n v="22"/>
    <d v="2022-10-19T00:00:00"/>
    <s v="2022-2023"/>
    <n v="10"/>
    <s v="Real Madrid"/>
    <s v="Elche"/>
    <s v="Carlo Ancelotti"/>
    <s v="David Alaba"/>
    <m/>
    <b v="0"/>
    <x v="0"/>
    <s v="Offside - goalscorer"/>
    <n v="26"/>
    <s v="26'"/>
    <s v="first"/>
    <d v="2000-01-01T00:00:00"/>
    <s v="Extend lead"/>
    <n v="3"/>
    <n v="0"/>
    <s v="WIN"/>
    <n v="0"/>
    <n v="1"/>
    <n v="20"/>
    <n v="25"/>
    <s v="Jesús Gil Manzano"/>
    <b v="0"/>
    <s v="FC Barcelona"/>
    <s v="The goal by Real Madrid won't count as it has been disallowed due to offside on the advice of the video assistant referee!"/>
    <s v="Explicit VAR wording / ESPN review"/>
  </r>
  <r>
    <n v="23"/>
    <d v="2022-10-19T00:00:00"/>
    <s v="2022-2023"/>
    <n v="10"/>
    <s v="Real Madrid"/>
    <s v="Elche"/>
    <s v="Carlo Ancelotti"/>
    <s v="Karim Benzema"/>
    <s v="Rodrygo tries a through ball, but Vinícius Júnior"/>
    <b v="0"/>
    <x v="0"/>
    <s v="Offside - teammate in build-up"/>
    <n v="6"/>
    <s v="6'"/>
    <s v="first"/>
    <s v="0-0"/>
    <s v="Go-ahead / opener"/>
    <n v="3"/>
    <n v="0"/>
    <s v="WIN"/>
    <n v="0"/>
    <n v="1"/>
    <n v="20"/>
    <n v="25"/>
    <s v="Jesús Gil Manzano"/>
    <b v="0"/>
    <s v="FC Barcelona"/>
    <s v="The goal by Real Madrid is DISALLOWED on the advice of the video assistant referee due to an offside."/>
    <s v="Explicit VAR wording / ESPN review"/>
  </r>
  <r>
    <n v="24"/>
    <d v="2022-10-30T00:00:00"/>
    <s v="2022-2023"/>
    <n v="12"/>
    <s v="Real Madrid"/>
    <s v="Girona"/>
    <s v="Carlo Ancelotti"/>
    <s v="Rodrygo"/>
    <m/>
    <b v="1"/>
    <x v="2"/>
    <s v="Other / unspecified VAR review"/>
    <n v="90"/>
    <s v="90'"/>
    <s v="second"/>
    <d v="2026-01-01T00:00:00"/>
    <s v="Go-ahead / opener"/>
    <n v="1"/>
    <n v="1"/>
    <s v="DRAW"/>
    <n v="2"/>
    <n v="2"/>
    <n v="19"/>
    <n v="31"/>
    <s v="Mario Melero López"/>
    <b v="0"/>
    <s v="FC Barcelona"/>
    <s v="The Real Madrid players can't believe it after the referee disallows the goal after the intervention of the VAR!"/>
    <s v="Explicit VAR wording / ESPN review"/>
  </r>
  <r>
    <n v="25"/>
    <d v="2023-02-02T00:00:00"/>
    <s v="2022-2023"/>
    <n v="17"/>
    <s v="Real Madrid"/>
    <s v="Valencia"/>
    <s v="Carlo Ancelotti"/>
    <s v="Antonio Rüdiger"/>
    <m/>
    <b v="1"/>
    <x v="3"/>
    <s v="Attacking foul (before goal)"/>
    <n v="48"/>
    <s v="45+3'"/>
    <s v="first"/>
    <s v="0-0"/>
    <s v="Go-ahead / opener"/>
    <n v="2"/>
    <n v="0"/>
    <s v="WIN"/>
    <n v="0"/>
    <n v="2"/>
    <n v="14"/>
    <n v="42"/>
    <s v="Javier Alberola Rojas"/>
    <b v="0"/>
    <s v="FC Barcelona"/>
    <s v="Celebrations are cut short for Real Madrid as the referee indicates NO GOAL after the VAR review due to a foul in the build-up play."/>
    <s v="Explicit VAR wording / ESPN review"/>
  </r>
  <r>
    <n v="26"/>
    <d v="2023-02-18T00:00:00"/>
    <s v="2022-2023"/>
    <n v="22"/>
    <s v="Real Madrid"/>
    <s v="Osasuna"/>
    <s v="Carlo Ancelotti"/>
    <s v="Vinícius Júnior"/>
    <s v="Federico Valverde tries a through ball, but Álvaro Rodríguez"/>
    <b v="0"/>
    <x v="0"/>
    <s v="Offside - teammate in build-up"/>
    <n v="89"/>
    <s v="89'"/>
    <s v="second"/>
    <s v="1-0"/>
    <s v="Extend lead"/>
    <n v="2"/>
    <n v="0"/>
    <s v="WIN"/>
    <n v="0"/>
    <n v="2"/>
    <n v="10"/>
    <n v="48"/>
    <s v="José Luis Munuera Montero"/>
    <b v="0"/>
    <s v="FC Barcelona"/>
    <s v="Celebrations are cut short for Real Madrid as the referee indicates NO GOAL after the VAR review shows it was offside!"/>
    <s v="Explicit VAR wording / ESPN review"/>
  </r>
  <r>
    <n v="27"/>
    <d v="2023-03-05T00:00:00"/>
    <s v="2022-2023"/>
    <n v="24"/>
    <s v="Real Madrid"/>
    <s v="Real Betis"/>
    <s v="Carlo Ancelotti"/>
    <s v="Karim Benzema"/>
    <m/>
    <b v="0"/>
    <x v="1"/>
    <s v="Handball (attacking team)"/>
    <n v="12"/>
    <s v="12'"/>
    <s v="first"/>
    <s v="0-0"/>
    <s v="Go-ahead / opener"/>
    <n v="0"/>
    <n v="0"/>
    <s v="DRAW"/>
    <n v="2"/>
    <n v="2"/>
    <n v="5"/>
    <n v="52"/>
    <s v="César Soto Grado"/>
    <b v="0"/>
    <s v="FC Barcelona"/>
    <s v="Here comes the VAR verdict. NO GOAL for Real Madrid due to a handball in the build-up play."/>
    <s v="Explicit VAR wording / ESPN review"/>
  </r>
  <r>
    <n v="28"/>
    <d v="2023-03-19T00:00:00"/>
    <s v="2022-2023"/>
    <n v="26"/>
    <s v="Real Madrid"/>
    <s v="FC Barcelona"/>
    <s v="Carlo Ancelotti"/>
    <s v="Marco Asensio"/>
    <m/>
    <b v="0"/>
    <x v="0"/>
    <s v="Offside - goalscorer"/>
    <n v="81"/>
    <s v="81'"/>
    <s v="second"/>
    <d v="2026-01-01T00:00:00"/>
    <s v="Go-ahead / opener"/>
    <n v="1"/>
    <n v="2"/>
    <s v="LOSS"/>
    <n v="1"/>
    <n v="2"/>
    <n v="1"/>
    <n v="56"/>
    <s v="De Burgos Bengoetxea"/>
    <b v="0"/>
    <s v="FC Barcelona"/>
    <s v="The referee looks satisfied after his VAR review and duly disallows the goal for offside. The Real Madrid players look gutted."/>
    <s v="Explicit VAR wording / ESPN review"/>
  </r>
  <r>
    <n v="29"/>
    <d v="2023-04-02T00:00:00"/>
    <s v="2022-2023"/>
    <n v="27"/>
    <s v="Real Madrid"/>
    <s v="Real Valladolid"/>
    <s v="Carlo Ancelotti"/>
    <s v="Rodrygo"/>
    <m/>
    <b v="1"/>
    <x v="1"/>
    <s v="Handball (attacking team)"/>
    <n v="66"/>
    <s v="66'"/>
    <s v="second"/>
    <d v="2000-04-01T00:00:00"/>
    <s v="Extend lead"/>
    <n v="6"/>
    <n v="0"/>
    <s v="WIN"/>
    <n v="0"/>
    <n v="2"/>
    <n v="15"/>
    <n v="56"/>
    <s v="Juan Luis Pulido Santana"/>
    <b v="0"/>
    <s v="FC Barcelona"/>
    <s v="The Real Madrid players’ celebrations are quickly cut short after referee Juan Pulido signals NO GOAL following the VAR review due to a handball."/>
    <s v="Explicit VAR wording / ESPN review"/>
  </r>
  <r>
    <n v="30"/>
    <d v="2023-08-19T00:00:00"/>
    <s v="2023-2024"/>
    <n v="2"/>
    <s v="Real Madrid"/>
    <s v="Almería"/>
    <s v="Carlo Ancelotti"/>
    <s v="Toni Kroos"/>
    <m/>
    <b v="0"/>
    <x v="3"/>
    <s v="Attacking foul (before goal)"/>
    <n v="50"/>
    <s v="45+5'"/>
    <s v="first"/>
    <d v="2026-01-01T00:00:00"/>
    <s v="Go-ahead / opener"/>
    <n v="3"/>
    <n v="1"/>
    <s v="WIN"/>
    <n v="0"/>
    <n v="5"/>
    <n v="19"/>
    <n v="3"/>
    <s v="José María Sánchez Martínez"/>
    <b v="1"/>
    <s v="Real Madrid"/>
    <s v="The goal by Real Madrid is DISALLOWED on the advice of the video assistant referee due to a foul."/>
    <s v="Explicit VAR wording / ESPN review"/>
  </r>
  <r>
    <n v="31"/>
    <d v="2023-10-21T00:00:00"/>
    <s v="2023-2024"/>
    <n v="10"/>
    <s v="Real Madrid"/>
    <s v="Sevilla"/>
    <s v="Carlo Ancelotti"/>
    <s v="Federico Valverde"/>
    <m/>
    <b v="0"/>
    <x v="0"/>
    <s v="Offside - goalscorer"/>
    <n v="4"/>
    <s v="4'"/>
    <s v="first"/>
    <s v="0-0"/>
    <s v="Go-ahead / opener"/>
    <n v="1"/>
    <n v="1"/>
    <s v="DRAW"/>
    <n v="2"/>
    <n v="1"/>
    <n v="14"/>
    <n v="24"/>
    <s v="De Burgos Bengoetxea"/>
    <b v="1"/>
    <s v="Real Madrid"/>
    <s v="The goal by Real Madrid is DISALLOWED on the advice of the video assistant referee due to an offside."/>
    <s v="Explicit VAR wording / ESPN review"/>
  </r>
  <r>
    <n v="32"/>
    <d v="2024-02-25T00:00:00"/>
    <s v="2023-2024"/>
    <n v="26"/>
    <s v="Real Madrid"/>
    <s v="Sevilla"/>
    <s v="Carlo Ancelotti"/>
    <s v="Lucas"/>
    <m/>
    <b v="1"/>
    <x v="3"/>
    <s v="Attacking foul (before goal)"/>
    <n v="10"/>
    <s v="10'"/>
    <s v="first"/>
    <s v="0-0"/>
    <s v="Go-ahead / opener"/>
    <n v="1"/>
    <n v="0"/>
    <s v="WIN"/>
    <n v="0"/>
    <n v="1"/>
    <n v="15"/>
    <n v="62"/>
    <s v="Isidro Díaz de Mera Escuderos"/>
    <b v="1"/>
    <s v="Real Madrid"/>
    <s v="The Real Madrid players halt their celebrations as referee Isidro Diaz de Mera makes the VAR signal to review the goal, most likely to ascertain if there was a foul in the build-up play."/>
    <s v="Explicit VAR wording / ESPN review"/>
  </r>
  <r>
    <n v="33"/>
    <d v="2024-10-26T00:00:00"/>
    <s v="2024-2025"/>
    <n v="11"/>
    <s v="Real Madrid"/>
    <s v="FC Barcelona"/>
    <s v="Carlo Ancelotti"/>
    <s v="Kylian Mbappé"/>
    <m/>
    <b v="1"/>
    <x v="0"/>
    <s v="Offside - goalscorer"/>
    <n v="30"/>
    <s v="30'"/>
    <s v="first"/>
    <s v="0-0"/>
    <s v="Go-ahead / opener"/>
    <n v="0"/>
    <n v="4"/>
    <s v="LOSS"/>
    <n v="0"/>
    <n v="2"/>
    <n v="1"/>
    <n v="24"/>
    <s v="José María Sánchez Martínez"/>
    <b v="0"/>
    <s v="FC Barcelona"/>
    <s v="The referee looks satisfied after his VAR review and duly disallows the goal for offside. The Real Madrid players look gutted."/>
    <s v="Explicit VAR wording / ESPN review"/>
  </r>
  <r>
    <n v="34"/>
    <d v="2024-12-04T00:00:00"/>
    <s v="2024-2025"/>
    <n v="19"/>
    <s v="Real Madrid"/>
    <s v="Athletic Club"/>
    <s v="Carlo Ancelotti"/>
    <s v="Kylian Mbappé"/>
    <m/>
    <b v="0"/>
    <x v="0"/>
    <s v="Offside - goalscorer"/>
    <n v="14"/>
    <s v="14'"/>
    <s v="first"/>
    <s v="0-0"/>
    <s v="Go-ahead / opener"/>
    <n v="1"/>
    <n v="2"/>
    <s v="LOSS"/>
    <n v="1"/>
    <n v="2"/>
    <n v="4"/>
    <n v="33"/>
    <s v="José María Sánchez Martínez"/>
    <b v="0"/>
    <s v="FC Barcelona"/>
    <s v="The goal by Real Madrid won't count as it has been disallowed due to offside on the advice of the video assistant referee!"/>
    <s v="Explicit VAR wording / ESPN review"/>
  </r>
  <r>
    <n v="35"/>
    <d v="2025-01-03T00:00:00"/>
    <s v="2024-2025"/>
    <n v="12"/>
    <s v="Real Madrid"/>
    <s v="Valencia"/>
    <s v="Carlo Ancelotti"/>
    <s v="Kylian Mbappé"/>
    <m/>
    <b v="0"/>
    <x v="0"/>
    <s v="Offside - goalscorer"/>
    <n v="60"/>
    <s v="60'"/>
    <s v="second"/>
    <s v="0-1"/>
    <s v="Equaliser"/>
    <n v="2"/>
    <n v="1"/>
    <s v="WIN"/>
    <n v="0"/>
    <n v="2"/>
    <n v="19"/>
    <n v="40"/>
    <s v="César Soto Grado"/>
    <b v="0"/>
    <s v="FC Barcelona"/>
    <s v="The goal by Real Madrid is DISALLOWED on the advice of the video assistant referee due to an offside."/>
    <s v="Explicit VAR wording / ESPN review"/>
  </r>
  <r>
    <n v="36"/>
    <d v="2025-01-19T00:00:00"/>
    <s v="2024-2025"/>
    <n v="20"/>
    <s v="Real Madrid"/>
    <s v="Las Palmas"/>
    <s v="Carlo Ancelotti"/>
    <s v="Kylian Mbappé"/>
    <m/>
    <b v="1"/>
    <x v="0"/>
    <s v="Offside - goalscorer"/>
    <n v="42"/>
    <s v="42'"/>
    <s v="first"/>
    <d v="2026-03-01T00:00:00"/>
    <s v="Extend lead"/>
    <n v="4"/>
    <n v="1"/>
    <s v="WIN"/>
    <n v="0"/>
    <n v="2"/>
    <n v="14"/>
    <n v="43"/>
    <s v="Alejandro Quintero González"/>
    <b v="0"/>
    <s v="FC Barcelona"/>
    <s v="Celebrations are cut short for Real Madrid as the referee indicates NO GOAL after the VAR review shows it was offside!"/>
    <s v="Explicit VAR wording / ESPN review"/>
  </r>
  <r>
    <n v="37"/>
    <d v="2025-01-19T00:00:00"/>
    <s v="2024-2025"/>
    <n v="20"/>
    <s v="Real Madrid"/>
    <s v="Las Palmas"/>
    <s v="Carlo Ancelotti"/>
    <s v="Jude Bellingham"/>
    <s v="Antonio Rüdiger"/>
    <b v="1"/>
    <x v="0"/>
    <s v="Offside - teammate in build-up"/>
    <n v="73"/>
    <s v="73'"/>
    <s v="second"/>
    <d v="2026-04-01T00:00:00"/>
    <s v="Extend lead"/>
    <n v="4"/>
    <n v="1"/>
    <s v="WIN"/>
    <n v="0"/>
    <n v="2"/>
    <n v="14"/>
    <n v="43"/>
    <s v="Alejandro Quintero González"/>
    <b v="0"/>
    <s v="FC Barcelona"/>
    <s v="The goal by Real Madrid won't count as it has been disallowed due to offside on the advice of the video assistant referee!"/>
    <s v="Explicit VAR wording / ESPN review"/>
  </r>
  <r>
    <n v="38"/>
    <d v="2025-01-19T00:00:00"/>
    <s v="2024-2025"/>
    <n v="20"/>
    <s v="Real Madrid"/>
    <s v="Las Palmas"/>
    <s v="Carlo Ancelotti"/>
    <s v="Federico Valverde"/>
    <s v="Lucas Vázquez"/>
    <b v="1"/>
    <x v="0"/>
    <s v="Offside - teammate in build-up"/>
    <n v="86"/>
    <s v="86'"/>
    <s v="second"/>
    <d v="2026-04-01T00:00:00"/>
    <s v="Extend lead"/>
    <n v="4"/>
    <n v="1"/>
    <s v="WIN"/>
    <n v="0"/>
    <n v="2"/>
    <n v="14"/>
    <n v="43"/>
    <s v="Alejandro Quintero González"/>
    <b v="0"/>
    <s v="FC Barcelona"/>
    <s v="The goal by Real Madrid is DISALLOWED on the advice of the video assistant referee due to an offside."/>
    <s v="Explicit VAR wording / ESPN review"/>
  </r>
  <r>
    <n v="39"/>
    <d v="2025-04-05T00:00:00"/>
    <s v="2024-2025"/>
    <n v="30"/>
    <s v="Real Madrid"/>
    <s v="Valencia"/>
    <s v="Carlo Ancelotti"/>
    <s v="Mouctar Diakhaby"/>
    <s v="Kylian Mbappé"/>
    <b v="1"/>
    <x v="0"/>
    <s v="Offside - teammate in build-up"/>
    <n v="21"/>
    <s v="21'"/>
    <s v="first"/>
    <s v="0-1"/>
    <s v="Equaliser"/>
    <n v="1"/>
    <n v="2"/>
    <s v="LOSS"/>
    <n v="1"/>
    <n v="2"/>
    <n v="16"/>
    <n v="63"/>
    <s v="Guillermo Cuadra Fernández"/>
    <b v="0"/>
    <s v="FC Barcelona"/>
    <s v="Celebrations are cut short for Real Madrid as the referee indicates NO GOAL after the VAR review shows it was offside!"/>
    <s v="Explicit VAR wording / ESPN review"/>
  </r>
  <r>
    <n v="40"/>
    <d v="2025-04-13T00:00:00"/>
    <s v="2024-2025"/>
    <n v="31"/>
    <s v="Real Madrid"/>
    <s v="Deportivo Alavés"/>
    <s v="Carlo Ancelotti"/>
    <s v="Raúl Asencio"/>
    <m/>
    <b v="0"/>
    <x v="3"/>
    <s v="Attacking foul (before goal)"/>
    <n v="19"/>
    <s v="19'"/>
    <s v="first"/>
    <s v="0-0"/>
    <s v="Go-ahead / opener"/>
    <n v="1"/>
    <n v="0"/>
    <s v="WIN"/>
    <n v="0"/>
    <n v="2"/>
    <n v="17"/>
    <n v="63"/>
    <s v="César Soto Grado"/>
    <b v="0"/>
    <s v="FC Barcelona"/>
    <s v="Celebrations are cut short for Real Madrid as the referee indicates NO GOAL after the VAR review due to a foul in the build-up play."/>
    <s v="Explicit VAR wording / ESPN review"/>
  </r>
  <r>
    <n v="41"/>
    <d v="2025-04-20T00:00:00"/>
    <s v="2024-2025"/>
    <n v="32"/>
    <s v="Real Madrid"/>
    <s v="Athletic Club"/>
    <s v="Carlo Ancelotti"/>
    <s v="Vinícius Júnior"/>
    <s v="Endrick"/>
    <b v="1"/>
    <x v="0"/>
    <s v="Offside - teammate in build-up"/>
    <n v="79"/>
    <s v="79'"/>
    <s v="second"/>
    <s v="0-0"/>
    <s v="Go-ahead / opener"/>
    <n v="1"/>
    <n v="0"/>
    <s v="WIN"/>
    <n v="0"/>
    <n v="2"/>
    <n v="4"/>
    <n v="66"/>
    <s v="Juan Martínez Munuera"/>
    <b v="0"/>
    <s v="FC Barcelona"/>
    <s v="Hold on! There’s a VAR review to see whether there was an offside in the build up to the goal. The referee is checking now. The Real Madrid players aren’t happy."/>
    <s v="Explicit VAR wording / ESPN review"/>
  </r>
  <r>
    <n v="42"/>
    <d v="2025-08-30T00:00:00"/>
    <s v="2025-2026"/>
    <n v="3"/>
    <s v="Real Madrid"/>
    <s v="Mallorca"/>
    <s v="Xabi Alonso"/>
    <s v="Arda Güler"/>
    <m/>
    <b v="1"/>
    <x v="1"/>
    <s v="Handball (attacking team)"/>
    <n v="55"/>
    <s v="55'"/>
    <s v="second"/>
    <d v="2026-02-01T00:00:00"/>
    <s v="Extend lead"/>
    <n v="2"/>
    <n v="1"/>
    <s v="WIN"/>
    <n v="0"/>
    <n v="3"/>
    <n v="18"/>
    <n v="6"/>
    <s v="José María Sánchez Martínez"/>
    <b v="0"/>
    <s v="FC Barcelona"/>
    <s v="The Real Madrid players halt their celebrations as referee Jose Sanchez makes the VAR signal to review the goal, most likely to ascertain if there was a handball in the build-up play."/>
    <s v="Explicit VAR wording / ESPN review"/>
  </r>
  <r>
    <n v="43"/>
    <d v="2025-08-30T00:00:00"/>
    <s v="2025-2026"/>
    <n v="3"/>
    <s v="Real Madrid"/>
    <s v="Mallorca"/>
    <s v="Xabi Alonso"/>
    <s v="Kylian Mbappé"/>
    <m/>
    <b v="1"/>
    <x v="0"/>
    <s v="Offside - goalscorer"/>
    <n v="46"/>
    <s v="45+1'"/>
    <s v="first"/>
    <d v="2026-02-01T00:00:00"/>
    <s v="Extend lead"/>
    <n v="2"/>
    <n v="1"/>
    <s v="WIN"/>
    <n v="0"/>
    <n v="3"/>
    <n v="18"/>
    <n v="6"/>
    <s v="José María Sánchez Martínez"/>
    <b v="0"/>
    <s v="FC Barcelona"/>
    <s v="The goal by Real Madrid won't count as it has been disallowed due to offside on the advice of the video assistant referee!"/>
    <s v="Explicit VAR wording / ESPN review"/>
  </r>
  <r>
    <n v="44"/>
    <d v="2025-08-30T00:00:00"/>
    <s v="2025-2026"/>
    <n v="3"/>
    <s v="Real Madrid"/>
    <s v="Mallorca"/>
    <s v="Xabi Alonso"/>
    <s v="Kylian Mbappé"/>
    <m/>
    <b v="1"/>
    <x v="0"/>
    <s v="Offside - goalscorer"/>
    <n v="7"/>
    <s v="7'"/>
    <s v="first"/>
    <s v="0-0"/>
    <s v="Go-ahead / opener"/>
    <n v="2"/>
    <n v="1"/>
    <s v="WIN"/>
    <n v="0"/>
    <n v="3"/>
    <n v="18"/>
    <n v="6"/>
    <s v="José María Sánchez Martínez"/>
    <b v="0"/>
    <s v="FC Barcelona"/>
    <s v="Celebrations are cut short for Real Madrid as the referee indicates NO GOAL after the VAR review shows it was offside!"/>
    <s v="Explicit VAR wording / ESPN review"/>
  </r>
  <r>
    <n v="45"/>
    <d v="2025-09-13T00:00:00"/>
    <s v="2025-2026"/>
    <n v="4"/>
    <s v="Real Madrid"/>
    <s v="Real Sociedad"/>
    <s v="Xabi Alonso"/>
    <s v="Arda Güler"/>
    <s v="Kylian Mbappé"/>
    <b v="0"/>
    <x v="0"/>
    <s v="Offside - teammate in build-up"/>
    <n v="2"/>
    <s v="2'"/>
    <s v="first"/>
    <s v="0-0"/>
    <s v="Go-ahead / opener"/>
    <n v="2"/>
    <n v="1"/>
    <s v="WIN"/>
    <n v="0"/>
    <n v="1"/>
    <n v="17"/>
    <n v="9"/>
    <s v="Jesús Gil Manzano"/>
    <b v="0"/>
    <s v="FC Barcelona"/>
    <s v="The goal by Real Madrid is DISALLOWED on the advice of the video assistant referee due to an offside."/>
    <s v="Explicit VAR wording / ESPN review"/>
  </r>
  <r>
    <n v="46"/>
    <d v="2025-10-26T00:00:00"/>
    <s v="2025-2026"/>
    <n v="10"/>
    <s v="Real Madrid"/>
    <s v="FC Barcelona"/>
    <s v="Xabi Alonso"/>
    <s v="Kylian Mbappé"/>
    <m/>
    <b v="1"/>
    <x v="0"/>
    <s v="Offside - goalscorer"/>
    <n v="12"/>
    <s v="12'"/>
    <s v="first"/>
    <s v="0-0"/>
    <s v="Go-ahead / opener"/>
    <n v="2"/>
    <n v="1"/>
    <s v="WIN"/>
    <n v="0"/>
    <n v="1"/>
    <n v="2"/>
    <n v="24"/>
    <s v="César Soto Grado"/>
    <b v="0"/>
    <s v="FC Barcelona"/>
    <s v="Celebrations are cut short for Real Madrid as the referee indicates NO GOAL after the VAR review shows it was offside!"/>
    <s v="Explicit VAR wording / ESPN review"/>
  </r>
  <r>
    <n v="47"/>
    <d v="2025-11-30T00:00:00"/>
    <s v="2025-2026"/>
    <n v="14"/>
    <s v="Real Madrid"/>
    <s v="Girona"/>
    <s v="Xabi Alonso"/>
    <s v="Kylian Mbappé"/>
    <m/>
    <b v="0"/>
    <x v="1"/>
    <s v="Handball (attacking team)"/>
    <n v="40"/>
    <s v="40'"/>
    <s v="first"/>
    <s v="0-0"/>
    <s v="Go-ahead / opener"/>
    <n v="1"/>
    <n v="1"/>
    <s v="DRAW"/>
    <n v="2"/>
    <n v="3"/>
    <n v="18"/>
    <n v="32"/>
    <s v="De Burgos Bengoetxea"/>
    <b v="0"/>
    <s v="FC Barcelona"/>
    <s v="After what seems an eternity, referee Ricardo De Burgos decides there was a handball after using VAR to review the goal! NO GOAL for Real Madrid, play to continue."/>
    <s v="Explicit VAR wording / ESPN review"/>
  </r>
  <r>
    <n v="48"/>
    <d v="2026-08-26T00:00:00"/>
    <s v="2026-2027"/>
    <n v="1"/>
    <s v="Real Madrid"/>
    <s v="Real Sociedad"/>
    <s v="José Mourinho"/>
    <s v="Brahim Díaz"/>
    <s v="Carlos Espí"/>
    <b v="1"/>
    <x v="0"/>
    <s v="Offside - teammate in build-up"/>
    <n v="90"/>
    <s v="90'"/>
    <s v="second"/>
    <d v="2026-04-01T00:00:00"/>
    <s v="Extend lead"/>
    <n v="4"/>
    <n v="1"/>
    <s v="WIN"/>
    <n v="0"/>
    <n v="7"/>
    <n v="19"/>
    <n v="3"/>
    <s v="Mateo Busquets Ferrer"/>
    <b v="0"/>
    <s v="In progress (leader: FC Barcelona)"/>
    <s v="Celebrations are cut short for Real Madrid as the referee indicates NO GOAL after the VAR review shows it was offside!"/>
    <s v="Explicit VAR wording / ESPN review"/>
  </r>
  <r>
    <n v="49"/>
    <d v="2026-09-04T00:00:00"/>
    <s v="2026-2027"/>
    <n v="4"/>
    <s v="Real Madrid"/>
    <s v="Real Betis"/>
    <s v="José Mourinho"/>
    <s v="Carlos Espí"/>
    <m/>
    <b v="0"/>
    <x v="0"/>
    <s v="Offside - goalscorer"/>
    <n v="87"/>
    <s v="87'"/>
    <s v="second"/>
    <s v="0-1"/>
    <s v="Equaliser"/>
    <n v="0"/>
    <n v="1"/>
    <s v="LOSS"/>
    <n v="1"/>
    <n v="2"/>
    <n v="7"/>
    <n v="9"/>
    <s v="Alejandro Hernández Hernández"/>
    <b v="0"/>
    <s v="In progress (leader: FC Barcelona)"/>
    <s v="Here comes the VAR verdict. NO GOAL for Real Madrid due to an offside in the build-up play."/>
    <s v="Explicit VAR wording / ESPN review"/>
  </r>
  <r>
    <n v="50"/>
    <d v="2026-10-10T00:00:00"/>
    <s v="2026-2027"/>
    <n v="8"/>
    <s v="Real Madrid"/>
    <s v="Villarreal"/>
    <s v="José Mourinho"/>
    <s v="Vinícius Júnior"/>
    <m/>
    <b v="1"/>
    <x v="3"/>
    <s v="Attacking foul (before goal)"/>
    <n v="71"/>
    <s v="71'"/>
    <s v="second"/>
    <d v="2000-01-01T00:00:00"/>
    <s v="Extend lead"/>
    <n v="1"/>
    <n v="0"/>
    <s v="WIN"/>
    <n v="0"/>
    <n v="4"/>
    <n v="11"/>
    <n v="15"/>
    <s v="Isidro Díaz de Mera Escuderos"/>
    <b v="0"/>
    <s v="In progress (leader: FC Barcelona)"/>
    <s v="The Real Madrid players’ celebrations are quickly cut short after referee Isidro Diaz signals NO GOAL following the VAR review due to a foul."/>
    <s v="Explicit VAR wording / ESPN revi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Count of rank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31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24">
        <item x="12"/>
        <item x="20"/>
        <item x="21"/>
        <item x="22"/>
        <item x="4"/>
        <item x="11"/>
        <item x="3"/>
        <item x="14"/>
        <item x="6"/>
        <item x="9"/>
        <item x="17"/>
        <item x="7"/>
        <item x="16"/>
        <item x="15"/>
        <item x="2"/>
        <item x="0"/>
        <item x="1"/>
        <item x="18"/>
        <item x="19"/>
        <item x="10"/>
        <item x="5"/>
        <item x="1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4">
    <i>
      <x v="12"/>
    </i>
    <i>
      <x v="11"/>
    </i>
    <i>
      <x v="22"/>
    </i>
    <i>
      <x v="16"/>
    </i>
    <i>
      <x v="19"/>
    </i>
    <i>
      <x v="4"/>
    </i>
    <i>
      <x v="20"/>
    </i>
    <i>
      <x v="7"/>
    </i>
    <i>
      <x v="15"/>
    </i>
    <i>
      <x v="1"/>
    </i>
    <i>
      <x v="17"/>
    </i>
    <i>
      <x v="21"/>
    </i>
    <i>
      <x v="3"/>
    </i>
    <i>
      <x/>
    </i>
    <i>
      <x v="10"/>
    </i>
    <i>
      <x v="2"/>
    </i>
    <i>
      <x v="18"/>
    </i>
    <i>
      <x v="13"/>
    </i>
    <i>
      <x v="8"/>
    </i>
    <i>
      <x v="14"/>
    </i>
    <i>
      <x v="9"/>
    </i>
    <i>
      <x v="5"/>
    </i>
    <i>
      <x v="6"/>
    </i>
    <i t="grand">
      <x/>
    </i>
  </rowItems>
  <colItems count="1">
    <i/>
  </colItems>
  <dataFields count="1">
    <dataField name="Count of rank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1" firstHeaderRow="1" firstDataRow="3" firstDataCol="1"/>
  <pivotFields count="4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allDrilled="1" subtotalTop="0" showAll="0" dataSourceSort="1" defaultSubtotal="0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</pivotField>
  </pivotFields>
  <rowFields count="1">
    <field x="0"/>
  </rowFields>
  <rowItems count="6">
    <i>
      <x/>
    </i>
    <i>
      <x v="4"/>
    </i>
    <i>
      <x v="3"/>
    </i>
    <i>
      <x v="1"/>
    </i>
    <i>
      <x v="2"/>
    </i>
    <i t="grand">
      <x/>
    </i>
  </rowItems>
  <colFields count="2">
    <field x="3"/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rank"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rank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31"/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M_nullified_goals_breakdown!$A$1:$AE$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VmTWf4FSjd0" TargetMode="External"/><Relationship Id="rId18" Type="http://schemas.openxmlformats.org/officeDocument/2006/relationships/hyperlink" Target="https://www.youtube.com/watch?v=mtyciWFuKtA" TargetMode="External"/><Relationship Id="rId26" Type="http://schemas.openxmlformats.org/officeDocument/2006/relationships/hyperlink" Target="https://www.youtube.com/watch?v=2EGTD_d6Ubo" TargetMode="External"/><Relationship Id="rId39" Type="http://schemas.openxmlformats.org/officeDocument/2006/relationships/hyperlink" Target="https://www.youtube.com/watch?v=fzM7XYNlv-g" TargetMode="External"/><Relationship Id="rId21" Type="http://schemas.openxmlformats.org/officeDocument/2006/relationships/hyperlink" Target="https://www.youtube.com/watch?v=5DrYqwmjoAE" TargetMode="External"/><Relationship Id="rId34" Type="http://schemas.openxmlformats.org/officeDocument/2006/relationships/hyperlink" Target="https://www.youtube.com/watch?v=N4OOSIKtKUk" TargetMode="External"/><Relationship Id="rId42" Type="http://schemas.openxmlformats.org/officeDocument/2006/relationships/hyperlink" Target="https://www.youtube.com/watch?v=qt3QcyaBhmI" TargetMode="External"/><Relationship Id="rId47" Type="http://schemas.openxmlformats.org/officeDocument/2006/relationships/hyperlink" Target="https://www.youtube.com/watch?v=DilVQFNnBLI" TargetMode="External"/><Relationship Id="rId50" Type="http://schemas.openxmlformats.org/officeDocument/2006/relationships/hyperlink" Target="https://www.youtube.com/watch?v=jntC-JcFM3A" TargetMode="External"/><Relationship Id="rId7" Type="http://schemas.openxmlformats.org/officeDocument/2006/relationships/hyperlink" Target="https://www.youtube.com/watch?v=5t1nrMZcgrE" TargetMode="External"/><Relationship Id="rId2" Type="http://schemas.openxmlformats.org/officeDocument/2006/relationships/hyperlink" Target="https://www.youtube.com/watch?v=J9bxO1IuMsU" TargetMode="External"/><Relationship Id="rId16" Type="http://schemas.openxmlformats.org/officeDocument/2006/relationships/hyperlink" Target="https://www.youtube.com/watch?v=VNhU4q4T6pc" TargetMode="External"/><Relationship Id="rId29" Type="http://schemas.openxmlformats.org/officeDocument/2006/relationships/hyperlink" Target="https://www.youtube.com/watch?v=sTw2Da8NTZI" TargetMode="External"/><Relationship Id="rId11" Type="http://schemas.openxmlformats.org/officeDocument/2006/relationships/hyperlink" Target="https://en.as.com/en/2021/05/09/soccer/1620581894_753823.html" TargetMode="External"/><Relationship Id="rId24" Type="http://schemas.openxmlformats.org/officeDocument/2006/relationships/hyperlink" Target="https://www.youtube.com/watch?v=JnT847UuuPI" TargetMode="External"/><Relationship Id="rId32" Type="http://schemas.openxmlformats.org/officeDocument/2006/relationships/hyperlink" Target="https://www.youtube.com/watch?v=4ASM44qvE80" TargetMode="External"/><Relationship Id="rId37" Type="http://schemas.openxmlformats.org/officeDocument/2006/relationships/hyperlink" Target="https://www.youtube.com/watch?v=GdR0KLwAl6w" TargetMode="External"/><Relationship Id="rId40" Type="http://schemas.openxmlformats.org/officeDocument/2006/relationships/hyperlink" Target="https://www.youtube.com/watch?v=fzM7XYNlv-g" TargetMode="External"/><Relationship Id="rId45" Type="http://schemas.openxmlformats.org/officeDocument/2006/relationships/hyperlink" Target="https://www.youtube.com/watch?v=uIr56A1JnoQ" TargetMode="External"/><Relationship Id="rId5" Type="http://schemas.openxmlformats.org/officeDocument/2006/relationships/hyperlink" Target="https://www.youtube.com/watch?v=7ouQeRja8bg" TargetMode="External"/><Relationship Id="rId15" Type="http://schemas.openxmlformats.org/officeDocument/2006/relationships/hyperlink" Target="https://www.youtube.com/watch?v=uQ7n1dv_Jis" TargetMode="External"/><Relationship Id="rId23" Type="http://schemas.openxmlformats.org/officeDocument/2006/relationships/hyperlink" Target="https://www.youtube.com/watch?v=5DrYqwmjoAE" TargetMode="External"/><Relationship Id="rId28" Type="http://schemas.openxmlformats.org/officeDocument/2006/relationships/hyperlink" Target="https://www.youtube.com/watch?v=9MiQhsIvhUk" TargetMode="External"/><Relationship Id="rId36" Type="http://schemas.openxmlformats.org/officeDocument/2006/relationships/hyperlink" Target="https://www.youtube.com/watch?v=Hf9pXbnWIK8" TargetMode="External"/><Relationship Id="rId49" Type="http://schemas.openxmlformats.org/officeDocument/2006/relationships/hyperlink" Target="https://www.youtube.com/watch?v=xssDr9wNr_8" TargetMode="External"/><Relationship Id="rId10" Type="http://schemas.openxmlformats.org/officeDocument/2006/relationships/hyperlink" Target="https://www.espn.com/soccer/commentary/_/gameId/581916" TargetMode="External"/><Relationship Id="rId19" Type="http://schemas.openxmlformats.org/officeDocument/2006/relationships/hyperlink" Target="https://www.youtube.com/watch?v=MTkZzBVDgsk" TargetMode="External"/><Relationship Id="rId31" Type="http://schemas.openxmlformats.org/officeDocument/2006/relationships/hyperlink" Target="https://www.youtube.com/watch?v=GqQiijlMbuI" TargetMode="External"/><Relationship Id="rId44" Type="http://schemas.openxmlformats.org/officeDocument/2006/relationships/hyperlink" Target="https://www.youtube.com/watch?v=FNCgwwHZ2l8" TargetMode="External"/><Relationship Id="rId4" Type="http://schemas.openxmlformats.org/officeDocument/2006/relationships/hyperlink" Target="https://www.youtube.com/watch?v=8Tjml1O2cmg" TargetMode="External"/><Relationship Id="rId9" Type="http://schemas.openxmlformats.org/officeDocument/2006/relationships/hyperlink" Target="https://www.youtube.com/watch?v=wGTzyzPNfvk" TargetMode="External"/><Relationship Id="rId14" Type="http://schemas.openxmlformats.org/officeDocument/2006/relationships/hyperlink" Target="https://www.youtube.com/watch?v=s6HgZkQQQMk" TargetMode="External"/><Relationship Id="rId22" Type="http://schemas.openxmlformats.org/officeDocument/2006/relationships/hyperlink" Target="https://www.youtube.com/watch?v=5DrYqwmjoAE" TargetMode="External"/><Relationship Id="rId27" Type="http://schemas.openxmlformats.org/officeDocument/2006/relationships/hyperlink" Target="https://www.youtube.com/watch?v=2EGTD_d6Ubo" TargetMode="External"/><Relationship Id="rId30" Type="http://schemas.openxmlformats.org/officeDocument/2006/relationships/hyperlink" Target="https://www.youtube.com/watch?v=xkfl7vAW8J8" TargetMode="External"/><Relationship Id="rId35" Type="http://schemas.openxmlformats.org/officeDocument/2006/relationships/hyperlink" Target="https://www.youtube.com/watch?v=qVURhidDo7o" TargetMode="External"/><Relationship Id="rId43" Type="http://schemas.openxmlformats.org/officeDocument/2006/relationships/hyperlink" Target="https://www.youtube.com/watch?v=wO5LvEoaKBY" TargetMode="External"/><Relationship Id="rId48" Type="http://schemas.openxmlformats.org/officeDocument/2006/relationships/hyperlink" Target="https://www.youtube.com/watch?v=_xXdVTX7NXs" TargetMode="External"/><Relationship Id="rId8" Type="http://schemas.openxmlformats.org/officeDocument/2006/relationships/hyperlink" Target="https://www.youtube.com/watch?v=KLQXADFjqEU" TargetMode="External"/><Relationship Id="rId3" Type="http://schemas.openxmlformats.org/officeDocument/2006/relationships/hyperlink" Target="https://www.youtube.com/watch?v=FijHTEea9M0" TargetMode="External"/><Relationship Id="rId12" Type="http://schemas.openxmlformats.org/officeDocument/2006/relationships/hyperlink" Target="https://www.youtube.com/watch?v=7t91jEklf2s" TargetMode="External"/><Relationship Id="rId17" Type="http://schemas.openxmlformats.org/officeDocument/2006/relationships/hyperlink" Target="https://www.youtube.com/watch?v=5SG9lV0Z-Va" TargetMode="External"/><Relationship Id="rId25" Type="http://schemas.openxmlformats.org/officeDocument/2006/relationships/hyperlink" Target="https://www.youtube.com/watch?v=2EGTD_d6Ubo" TargetMode="External"/><Relationship Id="rId33" Type="http://schemas.openxmlformats.org/officeDocument/2006/relationships/hyperlink" Target="https://www.youtube.com/watch?v=6FKYTezTwx4" TargetMode="External"/><Relationship Id="rId38" Type="http://schemas.openxmlformats.org/officeDocument/2006/relationships/hyperlink" Target="https://www.youtube.com/watch?v=ytP7vTRXb6o" TargetMode="External"/><Relationship Id="rId46" Type="http://schemas.openxmlformats.org/officeDocument/2006/relationships/hyperlink" Target="https://www.youtube.com/watch?v=Ls7lgDXcZp8" TargetMode="External"/><Relationship Id="rId20" Type="http://schemas.openxmlformats.org/officeDocument/2006/relationships/hyperlink" Target="https://www.youtube.com/watch?v=WR50CwIXeGs" TargetMode="External"/><Relationship Id="rId41" Type="http://schemas.openxmlformats.org/officeDocument/2006/relationships/hyperlink" Target="https://www.youtube.com/watch?v=fzM7XYNlv-g" TargetMode="External"/><Relationship Id="rId1" Type="http://schemas.openxmlformats.org/officeDocument/2006/relationships/hyperlink" Target="https://www.youtube.com/watch?v=_owpCGaLbM4" TargetMode="External"/><Relationship Id="rId6" Type="http://schemas.openxmlformats.org/officeDocument/2006/relationships/hyperlink" Target="https://www.youtube.com/watch?v=XxyMCvy1o9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8"/>
  <sheetViews>
    <sheetView workbookViewId="0">
      <selection activeCell="B26" sqref="B26"/>
    </sheetView>
  </sheetViews>
  <sheetFormatPr defaultRowHeight="14.4" x14ac:dyDescent="0.3"/>
  <cols>
    <col min="1" max="1" width="25" bestFit="1" customWidth="1"/>
    <col min="2" max="2" width="12.5546875" bestFit="1" customWidth="1"/>
    <col min="4" max="4" width="9.33203125" customWidth="1"/>
  </cols>
  <sheetData>
    <row r="3" spans="1:4" x14ac:dyDescent="0.3">
      <c r="A3" s="4" t="s">
        <v>195</v>
      </c>
      <c r="B3" t="s">
        <v>197</v>
      </c>
    </row>
    <row r="4" spans="1:4" x14ac:dyDescent="0.3">
      <c r="A4" s="5" t="s">
        <v>31</v>
      </c>
      <c r="B4">
        <v>36</v>
      </c>
      <c r="D4" s="10"/>
    </row>
    <row r="5" spans="1:4" x14ac:dyDescent="0.3">
      <c r="A5" s="5" t="s">
        <v>105</v>
      </c>
      <c r="B5">
        <v>6</v>
      </c>
    </row>
    <row r="6" spans="1:4" x14ac:dyDescent="0.3">
      <c r="A6" s="5" t="s">
        <v>81</v>
      </c>
      <c r="B6">
        <v>6</v>
      </c>
    </row>
    <row r="7" spans="1:4" x14ac:dyDescent="0.3">
      <c r="A7" s="5" t="s">
        <v>86</v>
      </c>
      <c r="B7">
        <v>2</v>
      </c>
    </row>
    <row r="8" spans="1:4" x14ac:dyDescent="0.3">
      <c r="A8" s="5" t="s">
        <v>196</v>
      </c>
      <c r="B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7"/>
  <sheetViews>
    <sheetView workbookViewId="0">
      <selection activeCell="A17" sqref="A17"/>
    </sheetView>
  </sheetViews>
  <sheetFormatPr defaultRowHeight="14.4" x14ac:dyDescent="0.3"/>
  <cols>
    <col min="1" max="1" width="16.88671875" bestFit="1" customWidth="1"/>
    <col min="2" max="2" width="12.5546875" bestFit="1" customWidth="1"/>
  </cols>
  <sheetData>
    <row r="3" spans="1:2" x14ac:dyDescent="0.3">
      <c r="A3" s="4" t="s">
        <v>195</v>
      </c>
      <c r="B3" t="s">
        <v>197</v>
      </c>
    </row>
    <row r="4" spans="1:2" x14ac:dyDescent="0.3">
      <c r="A4" s="5" t="s">
        <v>158</v>
      </c>
      <c r="B4">
        <v>8</v>
      </c>
    </row>
    <row r="5" spans="1:2" x14ac:dyDescent="0.3">
      <c r="A5" s="5" t="s">
        <v>98</v>
      </c>
      <c r="B5">
        <v>8</v>
      </c>
    </row>
    <row r="6" spans="1:2" x14ac:dyDescent="0.3">
      <c r="A6" s="5" t="s">
        <v>113</v>
      </c>
      <c r="B6">
        <v>4</v>
      </c>
    </row>
    <row r="7" spans="1:2" x14ac:dyDescent="0.3">
      <c r="A7" s="5" t="s">
        <v>43</v>
      </c>
      <c r="B7">
        <v>4</v>
      </c>
    </row>
    <row r="8" spans="1:2" x14ac:dyDescent="0.3">
      <c r="A8" s="5" t="s">
        <v>123</v>
      </c>
      <c r="B8">
        <v>3</v>
      </c>
    </row>
    <row r="9" spans="1:2" x14ac:dyDescent="0.3">
      <c r="A9" s="5" t="s">
        <v>70</v>
      </c>
      <c r="B9">
        <v>2</v>
      </c>
    </row>
    <row r="10" spans="1:2" x14ac:dyDescent="0.3">
      <c r="A10" s="5" t="s">
        <v>74</v>
      </c>
      <c r="B10">
        <v>2</v>
      </c>
    </row>
    <row r="11" spans="1:2" x14ac:dyDescent="0.3">
      <c r="A11" s="5" t="s">
        <v>152</v>
      </c>
      <c r="B11">
        <v>2</v>
      </c>
    </row>
    <row r="12" spans="1:2" x14ac:dyDescent="0.3">
      <c r="A12" s="5" t="s">
        <v>30</v>
      </c>
      <c r="B12">
        <v>2</v>
      </c>
    </row>
    <row r="13" spans="1:2" x14ac:dyDescent="0.3">
      <c r="A13" s="5" t="s">
        <v>179</v>
      </c>
      <c r="B13">
        <v>2</v>
      </c>
    </row>
    <row r="14" spans="1:2" x14ac:dyDescent="0.3">
      <c r="A14" s="5" t="s">
        <v>170</v>
      </c>
      <c r="B14">
        <v>1</v>
      </c>
    </row>
    <row r="15" spans="1:2" x14ac:dyDescent="0.3">
      <c r="A15" s="5" t="s">
        <v>149</v>
      </c>
      <c r="B15">
        <v>1</v>
      </c>
    </row>
    <row r="16" spans="1:2" x14ac:dyDescent="0.3">
      <c r="A16" s="5" t="s">
        <v>189</v>
      </c>
      <c r="B16">
        <v>1</v>
      </c>
    </row>
    <row r="17" spans="1:2" x14ac:dyDescent="0.3">
      <c r="A17" s="5" t="s">
        <v>138</v>
      </c>
      <c r="B17">
        <v>1</v>
      </c>
    </row>
    <row r="18" spans="1:2" x14ac:dyDescent="0.3">
      <c r="A18" s="5" t="s">
        <v>166</v>
      </c>
      <c r="B18">
        <v>1</v>
      </c>
    </row>
    <row r="19" spans="1:2" x14ac:dyDescent="0.3">
      <c r="A19" s="5" t="s">
        <v>188</v>
      </c>
      <c r="B19">
        <v>1</v>
      </c>
    </row>
    <row r="20" spans="1:2" x14ac:dyDescent="0.3">
      <c r="A20" s="5" t="s">
        <v>173</v>
      </c>
      <c r="B20">
        <v>1</v>
      </c>
    </row>
    <row r="21" spans="1:2" x14ac:dyDescent="0.3">
      <c r="A21" s="5" t="s">
        <v>154</v>
      </c>
      <c r="B21">
        <v>1</v>
      </c>
    </row>
    <row r="22" spans="1:2" x14ac:dyDescent="0.3">
      <c r="A22" s="5" t="s">
        <v>92</v>
      </c>
      <c r="B22">
        <v>1</v>
      </c>
    </row>
    <row r="23" spans="1:2" x14ac:dyDescent="0.3">
      <c r="A23" s="5" t="s">
        <v>58</v>
      </c>
      <c r="B23">
        <v>1</v>
      </c>
    </row>
    <row r="24" spans="1:2" x14ac:dyDescent="0.3">
      <c r="A24" s="5" t="s">
        <v>117</v>
      </c>
      <c r="B24">
        <v>1</v>
      </c>
    </row>
    <row r="25" spans="1:2" x14ac:dyDescent="0.3">
      <c r="A25" s="5" t="s">
        <v>129</v>
      </c>
      <c r="B25">
        <v>1</v>
      </c>
    </row>
    <row r="26" spans="1:2" x14ac:dyDescent="0.3">
      <c r="A26" s="5" t="s">
        <v>64</v>
      </c>
      <c r="B26">
        <v>1</v>
      </c>
    </row>
    <row r="27" spans="1:2" x14ac:dyDescent="0.3">
      <c r="A27" s="5" t="s">
        <v>196</v>
      </c>
      <c r="B2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11"/>
  <sheetViews>
    <sheetView workbookViewId="0">
      <selection activeCell="C8" sqref="C8"/>
    </sheetView>
  </sheetViews>
  <sheetFormatPr defaultRowHeight="14.4" x14ac:dyDescent="0.3"/>
  <cols>
    <col min="1" max="1" width="15" bestFit="1" customWidth="1"/>
    <col min="2" max="2" width="15.77734375" bestFit="1" customWidth="1"/>
    <col min="3" max="10" width="7" bestFit="1" customWidth="1"/>
    <col min="11" max="11" width="11" bestFit="1" customWidth="1"/>
    <col min="12" max="12" width="4" bestFit="1" customWidth="1"/>
    <col min="13" max="13" width="4.77734375" bestFit="1" customWidth="1"/>
    <col min="14" max="14" width="4.109375" bestFit="1" customWidth="1"/>
    <col min="15" max="15" width="7" bestFit="1" customWidth="1"/>
    <col min="16" max="16" width="4.44140625" bestFit="1" customWidth="1"/>
    <col min="17" max="17" width="4" bestFit="1" customWidth="1"/>
    <col min="18" max="18" width="3.88671875" bestFit="1" customWidth="1"/>
    <col min="19" max="19" width="7" bestFit="1" customWidth="1"/>
    <col min="20" max="20" width="4.44140625" bestFit="1" customWidth="1"/>
    <col min="21" max="21" width="4" bestFit="1" customWidth="1"/>
    <col min="22" max="22" width="4.33203125" bestFit="1" customWidth="1"/>
    <col min="23" max="23" width="3.88671875" bestFit="1" customWidth="1"/>
    <col min="24" max="24" width="7" bestFit="1" customWidth="1"/>
    <col min="25" max="25" width="3.88671875" bestFit="1" customWidth="1"/>
    <col min="26" max="26" width="4.109375" bestFit="1" customWidth="1"/>
    <col min="27" max="27" width="7" bestFit="1" customWidth="1"/>
    <col min="28" max="28" width="4" bestFit="1" customWidth="1"/>
    <col min="29" max="29" width="4.33203125" bestFit="1" customWidth="1"/>
    <col min="30" max="30" width="4.109375" bestFit="1" customWidth="1"/>
    <col min="31" max="31" width="3.88671875" bestFit="1" customWidth="1"/>
    <col min="32" max="32" width="4.44140625" bestFit="1" customWidth="1"/>
    <col min="33" max="33" width="7" bestFit="1" customWidth="1"/>
    <col min="34" max="34" width="4.109375" bestFit="1" customWidth="1"/>
    <col min="35" max="35" width="3.88671875" bestFit="1" customWidth="1"/>
    <col min="36" max="36" width="11" bestFit="1" customWidth="1"/>
    <col min="37" max="40" width="9.77734375" bestFit="1" customWidth="1"/>
    <col min="41" max="42" width="10.77734375" bestFit="1" customWidth="1"/>
    <col min="43" max="43" width="9.77734375" bestFit="1" customWidth="1"/>
    <col min="44" max="44" width="8.77734375" bestFit="1" customWidth="1"/>
    <col min="45" max="45" width="10.77734375" bestFit="1" customWidth="1"/>
    <col min="46" max="46" width="11" bestFit="1" customWidth="1"/>
  </cols>
  <sheetData>
    <row r="3" spans="1:11" x14ac:dyDescent="0.3">
      <c r="A3" s="4" t="s">
        <v>197</v>
      </c>
      <c r="B3" s="4" t="s">
        <v>252</v>
      </c>
    </row>
    <row r="4" spans="1:11" x14ac:dyDescent="0.3">
      <c r="B4" t="s">
        <v>253</v>
      </c>
      <c r="C4" t="s">
        <v>254</v>
      </c>
      <c r="D4" t="s">
        <v>255</v>
      </c>
      <c r="E4" t="s">
        <v>256</v>
      </c>
      <c r="F4" t="s">
        <v>257</v>
      </c>
      <c r="G4" t="s">
        <v>258</v>
      </c>
      <c r="H4" t="s">
        <v>259</v>
      </c>
      <c r="I4" t="s">
        <v>260</v>
      </c>
      <c r="J4" t="s">
        <v>261</v>
      </c>
      <c r="K4" t="s">
        <v>196</v>
      </c>
    </row>
    <row r="5" spans="1:11" x14ac:dyDescent="0.3">
      <c r="A5" s="4" t="s">
        <v>195</v>
      </c>
    </row>
    <row r="6" spans="1:11" x14ac:dyDescent="0.3">
      <c r="A6" s="5" t="s">
        <v>249</v>
      </c>
      <c r="E6">
        <v>1</v>
      </c>
      <c r="F6">
        <v>10</v>
      </c>
      <c r="G6">
        <v>7</v>
      </c>
      <c r="H6">
        <v>3</v>
      </c>
      <c r="I6">
        <v>7</v>
      </c>
      <c r="K6">
        <v>28</v>
      </c>
    </row>
    <row r="7" spans="1:11" x14ac:dyDescent="0.3">
      <c r="A7" s="5" t="s">
        <v>248</v>
      </c>
      <c r="C7">
        <v>3</v>
      </c>
      <c r="D7">
        <v>4</v>
      </c>
      <c r="E7">
        <v>4</v>
      </c>
      <c r="K7">
        <v>11</v>
      </c>
    </row>
    <row r="8" spans="1:11" x14ac:dyDescent="0.3">
      <c r="A8" s="5" t="s">
        <v>250</v>
      </c>
      <c r="I8">
        <v>6</v>
      </c>
      <c r="K8">
        <v>6</v>
      </c>
    </row>
    <row r="9" spans="1:11" x14ac:dyDescent="0.3">
      <c r="A9" s="5" t="s">
        <v>251</v>
      </c>
      <c r="J9">
        <v>3</v>
      </c>
      <c r="K9">
        <v>3</v>
      </c>
    </row>
    <row r="10" spans="1:11" x14ac:dyDescent="0.3">
      <c r="A10" s="5" t="s">
        <v>247</v>
      </c>
      <c r="B10">
        <v>2</v>
      </c>
      <c r="K10">
        <v>2</v>
      </c>
    </row>
    <row r="11" spans="1:11" x14ac:dyDescent="0.3">
      <c r="A11" s="5" t="s">
        <v>196</v>
      </c>
      <c r="B11">
        <v>2</v>
      </c>
      <c r="C11">
        <v>3</v>
      </c>
      <c r="D11">
        <v>4</v>
      </c>
      <c r="E11">
        <v>5</v>
      </c>
      <c r="F11">
        <v>10</v>
      </c>
      <c r="G11">
        <v>7</v>
      </c>
      <c r="H11">
        <v>3</v>
      </c>
      <c r="I11">
        <v>13</v>
      </c>
      <c r="J11">
        <v>3</v>
      </c>
      <c r="K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1"/>
  <sheetViews>
    <sheetView tabSelected="1" workbookViewId="0">
      <selection activeCell="F13" sqref="F13"/>
    </sheetView>
  </sheetViews>
  <sheetFormatPr defaultRowHeight="14.4" x14ac:dyDescent="0.3"/>
  <cols>
    <col min="1" max="1" width="6.88671875" bestFit="1" customWidth="1"/>
    <col min="2" max="2" width="10.5546875" bestFit="1" customWidth="1"/>
    <col min="3" max="3" width="9.6640625" bestFit="1" customWidth="1"/>
    <col min="4" max="4" width="8.33203125" bestFit="1" customWidth="1"/>
    <col min="5" max="5" width="21.109375" bestFit="1" customWidth="1"/>
    <col min="6" max="6" width="15.77734375" bestFit="1" customWidth="1"/>
    <col min="7" max="7" width="15.77734375" customWidth="1"/>
    <col min="8" max="8" width="16.88671875" bestFit="1" customWidth="1"/>
    <col min="9" max="9" width="17.44140625" customWidth="1"/>
    <col min="10" max="10" width="11.33203125" bestFit="1" customWidth="1"/>
    <col min="11" max="11" width="25" bestFit="1" customWidth="1"/>
    <col min="12" max="12" width="28.88671875" bestFit="1" customWidth="1"/>
    <col min="13" max="13" width="9.44140625" bestFit="1" customWidth="1"/>
    <col min="14" max="14" width="16.6640625" bestFit="1" customWidth="1"/>
    <col min="15" max="15" width="7.109375" bestFit="1" customWidth="1"/>
    <col min="16" max="16" width="30" bestFit="1" customWidth="1"/>
    <col min="17" max="17" width="33.5546875" bestFit="1" customWidth="1"/>
    <col min="18" max="18" width="18" bestFit="1" customWidth="1"/>
    <col min="19" max="19" width="17.33203125" bestFit="1" customWidth="1"/>
    <col min="20" max="20" width="10.77734375" bestFit="1" customWidth="1"/>
    <col min="21" max="21" width="31.88671875" bestFit="1" customWidth="1"/>
    <col min="22" max="22" width="25.109375" bestFit="1" customWidth="1"/>
    <col min="23" max="23" width="23" customWidth="1"/>
    <col min="24" max="24" width="16.33203125" bestFit="1" customWidth="1"/>
    <col min="25" max="25" width="29.5546875" bestFit="1" customWidth="1"/>
    <col min="26" max="26" width="21.5546875" bestFit="1" customWidth="1"/>
    <col min="27" max="27" width="30.44140625" bestFit="1" customWidth="1"/>
    <col min="28" max="28" width="161.21875" bestFit="1" customWidth="1"/>
    <col min="29" max="29" width="31.88671875" bestFit="1" customWidth="1"/>
    <col min="30" max="30" width="19.44140625" style="7" bestFit="1" customWidth="1"/>
    <col min="31" max="31" width="59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246</v>
      </c>
      <c r="F1" t="s">
        <v>4</v>
      </c>
      <c r="G1" t="s">
        <v>245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s="7" t="s">
        <v>198</v>
      </c>
      <c r="AE1" t="s">
        <v>199</v>
      </c>
    </row>
    <row r="2" spans="1:31" x14ac:dyDescent="0.3">
      <c r="A2">
        <v>1</v>
      </c>
      <c r="B2" s="1">
        <v>43369</v>
      </c>
      <c r="C2" t="s">
        <v>27</v>
      </c>
      <c r="D2">
        <v>6</v>
      </c>
      <c r="E2" t="s">
        <v>28</v>
      </c>
      <c r="F2" t="s">
        <v>29</v>
      </c>
      <c r="G2" t="s">
        <v>247</v>
      </c>
      <c r="H2" t="s">
        <v>30</v>
      </c>
      <c r="J2" t="b">
        <v>0</v>
      </c>
      <c r="K2" t="s">
        <v>31</v>
      </c>
      <c r="L2" t="s">
        <v>32</v>
      </c>
      <c r="M2">
        <v>54</v>
      </c>
      <c r="N2" t="s">
        <v>33</v>
      </c>
      <c r="O2" t="s">
        <v>34</v>
      </c>
      <c r="P2" t="s">
        <v>35</v>
      </c>
      <c r="Q2" t="s">
        <v>36</v>
      </c>
      <c r="R2">
        <v>0</v>
      </c>
      <c r="S2">
        <v>3</v>
      </c>
      <c r="T2" t="s">
        <v>37</v>
      </c>
      <c r="U2">
        <v>0</v>
      </c>
      <c r="V2">
        <v>2</v>
      </c>
      <c r="W2">
        <v>10</v>
      </c>
      <c r="X2">
        <v>13</v>
      </c>
      <c r="Y2" t="s">
        <v>38</v>
      </c>
      <c r="Z2" t="b">
        <v>0</v>
      </c>
      <c r="AA2" t="s">
        <v>39</v>
      </c>
      <c r="AB2" t="s">
        <v>40</v>
      </c>
      <c r="AC2" t="s">
        <v>41</v>
      </c>
      <c r="AD2" s="7" t="b">
        <v>1</v>
      </c>
      <c r="AE2" s="6" t="s">
        <v>201</v>
      </c>
    </row>
    <row r="3" spans="1:31" x14ac:dyDescent="0.3">
      <c r="A3">
        <v>2</v>
      </c>
      <c r="B3" s="1">
        <v>43393</v>
      </c>
      <c r="C3" t="s">
        <v>27</v>
      </c>
      <c r="D3">
        <v>9</v>
      </c>
      <c r="E3" t="s">
        <v>28</v>
      </c>
      <c r="F3" t="s">
        <v>42</v>
      </c>
      <c r="G3" t="s">
        <v>247</v>
      </c>
      <c r="H3" t="s">
        <v>43</v>
      </c>
      <c r="J3" t="b">
        <v>1</v>
      </c>
      <c r="K3" t="s">
        <v>31</v>
      </c>
      <c r="L3" t="s">
        <v>44</v>
      </c>
      <c r="M3">
        <v>18</v>
      </c>
      <c r="N3" t="s">
        <v>45</v>
      </c>
      <c r="O3" t="s">
        <v>46</v>
      </c>
      <c r="P3" t="s">
        <v>47</v>
      </c>
      <c r="Q3" t="s">
        <v>36</v>
      </c>
      <c r="R3">
        <v>1</v>
      </c>
      <c r="S3">
        <v>2</v>
      </c>
      <c r="T3" t="s">
        <v>37</v>
      </c>
      <c r="U3">
        <v>1</v>
      </c>
      <c r="V3">
        <v>5</v>
      </c>
      <c r="W3">
        <v>11</v>
      </c>
      <c r="X3">
        <v>14</v>
      </c>
      <c r="Y3" t="s">
        <v>48</v>
      </c>
      <c r="Z3" t="b">
        <v>0</v>
      </c>
      <c r="AA3" t="s">
        <v>39</v>
      </c>
      <c r="AC3" t="s">
        <v>41</v>
      </c>
      <c r="AD3" s="7" t="b">
        <v>1</v>
      </c>
      <c r="AE3" s="6" t="s">
        <v>202</v>
      </c>
    </row>
    <row r="4" spans="1:31" x14ac:dyDescent="0.3">
      <c r="A4">
        <v>3</v>
      </c>
      <c r="B4" s="1">
        <v>43540</v>
      </c>
      <c r="C4" t="s">
        <v>27</v>
      </c>
      <c r="D4">
        <v>28</v>
      </c>
      <c r="E4" t="s">
        <v>28</v>
      </c>
      <c r="F4" t="s">
        <v>49</v>
      </c>
      <c r="G4" t="s">
        <v>248</v>
      </c>
      <c r="H4" t="s">
        <v>30</v>
      </c>
      <c r="J4" t="b">
        <v>1</v>
      </c>
      <c r="K4" t="s">
        <v>31</v>
      </c>
      <c r="L4" t="s">
        <v>32</v>
      </c>
      <c r="M4">
        <v>56</v>
      </c>
      <c r="N4" t="s">
        <v>50</v>
      </c>
      <c r="O4" t="s">
        <v>34</v>
      </c>
      <c r="P4" t="s">
        <v>51</v>
      </c>
      <c r="Q4" t="s">
        <v>52</v>
      </c>
      <c r="R4">
        <v>2</v>
      </c>
      <c r="S4">
        <v>0</v>
      </c>
      <c r="T4" t="s">
        <v>53</v>
      </c>
      <c r="U4">
        <v>0</v>
      </c>
      <c r="V4">
        <v>3</v>
      </c>
      <c r="W4">
        <v>18</v>
      </c>
      <c r="X4">
        <v>51</v>
      </c>
      <c r="Y4" t="s">
        <v>54</v>
      </c>
      <c r="Z4" t="b">
        <v>0</v>
      </c>
      <c r="AA4" t="s">
        <v>39</v>
      </c>
      <c r="AB4" t="s">
        <v>55</v>
      </c>
      <c r="AC4" t="s">
        <v>41</v>
      </c>
      <c r="AD4" s="7" t="b">
        <v>1</v>
      </c>
      <c r="AE4" s="6" t="s">
        <v>203</v>
      </c>
    </row>
    <row r="5" spans="1:31" x14ac:dyDescent="0.3">
      <c r="A5">
        <v>4</v>
      </c>
      <c r="B5" s="1">
        <v>43733</v>
      </c>
      <c r="C5" t="s">
        <v>56</v>
      </c>
      <c r="D5">
        <v>6</v>
      </c>
      <c r="E5" t="s">
        <v>28</v>
      </c>
      <c r="F5" t="s">
        <v>57</v>
      </c>
      <c r="G5" t="s">
        <v>248</v>
      </c>
      <c r="H5" t="s">
        <v>58</v>
      </c>
      <c r="J5" t="b">
        <v>1</v>
      </c>
      <c r="K5" t="s">
        <v>31</v>
      </c>
      <c r="L5" t="s">
        <v>32</v>
      </c>
      <c r="M5">
        <v>58</v>
      </c>
      <c r="N5" t="s">
        <v>59</v>
      </c>
      <c r="O5" t="s">
        <v>34</v>
      </c>
      <c r="P5" s="2">
        <v>36526</v>
      </c>
      <c r="Q5" t="s">
        <v>60</v>
      </c>
      <c r="R5">
        <v>2</v>
      </c>
      <c r="S5">
        <v>0</v>
      </c>
      <c r="T5" t="s">
        <v>53</v>
      </c>
      <c r="U5">
        <v>0</v>
      </c>
      <c r="V5">
        <v>4</v>
      </c>
      <c r="W5">
        <v>11</v>
      </c>
      <c r="X5">
        <v>11</v>
      </c>
      <c r="Y5" t="s">
        <v>61</v>
      </c>
      <c r="Z5" t="b">
        <v>1</v>
      </c>
      <c r="AA5" t="s">
        <v>28</v>
      </c>
      <c r="AB5" t="s">
        <v>62</v>
      </c>
      <c r="AC5" t="s">
        <v>41</v>
      </c>
      <c r="AD5" s="7" t="b">
        <v>1</v>
      </c>
      <c r="AE5" s="6" t="s">
        <v>204</v>
      </c>
    </row>
    <row r="6" spans="1:31" x14ac:dyDescent="0.3">
      <c r="A6">
        <v>5</v>
      </c>
      <c r="B6" s="1">
        <v>43771</v>
      </c>
      <c r="C6" t="s">
        <v>56</v>
      </c>
      <c r="D6">
        <v>12</v>
      </c>
      <c r="E6" t="s">
        <v>28</v>
      </c>
      <c r="F6" t="s">
        <v>63</v>
      </c>
      <c r="G6" t="s">
        <v>248</v>
      </c>
      <c r="H6" t="s">
        <v>64</v>
      </c>
      <c r="J6" t="b">
        <v>1</v>
      </c>
      <c r="K6" t="s">
        <v>31</v>
      </c>
      <c r="L6" t="s">
        <v>32</v>
      </c>
      <c r="M6">
        <v>8</v>
      </c>
      <c r="N6" t="s">
        <v>65</v>
      </c>
      <c r="O6" t="s">
        <v>46</v>
      </c>
      <c r="P6" t="s">
        <v>51</v>
      </c>
      <c r="Q6" t="s">
        <v>52</v>
      </c>
      <c r="R6">
        <v>0</v>
      </c>
      <c r="S6">
        <v>0</v>
      </c>
      <c r="T6" t="s">
        <v>66</v>
      </c>
      <c r="U6">
        <v>2</v>
      </c>
      <c r="V6">
        <v>2</v>
      </c>
      <c r="W6">
        <v>16</v>
      </c>
      <c r="X6">
        <v>21</v>
      </c>
      <c r="Y6" t="s">
        <v>67</v>
      </c>
      <c r="Z6" t="b">
        <v>1</v>
      </c>
      <c r="AA6" t="s">
        <v>28</v>
      </c>
      <c r="AB6" t="s">
        <v>68</v>
      </c>
      <c r="AC6" t="s">
        <v>41</v>
      </c>
      <c r="AD6" s="7" t="b">
        <v>1</v>
      </c>
      <c r="AE6" s="6" t="s">
        <v>205</v>
      </c>
    </row>
    <row r="7" spans="1:31" x14ac:dyDescent="0.3">
      <c r="A7">
        <v>6</v>
      </c>
      <c r="B7" s="1">
        <v>43856</v>
      </c>
      <c r="C7" t="s">
        <v>56</v>
      </c>
      <c r="D7">
        <v>21</v>
      </c>
      <c r="E7" t="s">
        <v>28</v>
      </c>
      <c r="F7" t="s">
        <v>69</v>
      </c>
      <c r="G7" t="s">
        <v>248</v>
      </c>
      <c r="H7" t="s">
        <v>70</v>
      </c>
      <c r="J7" t="b">
        <v>0</v>
      </c>
      <c r="K7" t="s">
        <v>31</v>
      </c>
      <c r="L7" t="s">
        <v>44</v>
      </c>
      <c r="M7">
        <v>12</v>
      </c>
      <c r="N7" t="s">
        <v>71</v>
      </c>
      <c r="O7" t="s">
        <v>46</v>
      </c>
      <c r="P7" t="s">
        <v>51</v>
      </c>
      <c r="Q7" t="s">
        <v>52</v>
      </c>
      <c r="R7">
        <v>1</v>
      </c>
      <c r="S7">
        <v>0</v>
      </c>
      <c r="T7" t="s">
        <v>53</v>
      </c>
      <c r="U7">
        <v>0</v>
      </c>
      <c r="V7">
        <v>2</v>
      </c>
      <c r="W7">
        <v>16</v>
      </c>
      <c r="X7">
        <v>43</v>
      </c>
      <c r="Y7" t="s">
        <v>72</v>
      </c>
      <c r="Z7" t="b">
        <v>1</v>
      </c>
      <c r="AA7" t="s">
        <v>28</v>
      </c>
      <c r="AB7" t="s">
        <v>73</v>
      </c>
      <c r="AC7" t="s">
        <v>41</v>
      </c>
      <c r="AD7" s="7" t="b">
        <v>1</v>
      </c>
      <c r="AE7" s="6" t="s">
        <v>206</v>
      </c>
    </row>
    <row r="8" spans="1:31" x14ac:dyDescent="0.3">
      <c r="A8">
        <v>7</v>
      </c>
      <c r="B8" s="1">
        <v>43877</v>
      </c>
      <c r="C8" t="s">
        <v>56</v>
      </c>
      <c r="D8">
        <v>24</v>
      </c>
      <c r="E8" t="s">
        <v>28</v>
      </c>
      <c r="F8" t="s">
        <v>49</v>
      </c>
      <c r="G8" t="s">
        <v>248</v>
      </c>
      <c r="H8" t="s">
        <v>74</v>
      </c>
      <c r="J8" t="b">
        <v>1</v>
      </c>
      <c r="K8" t="s">
        <v>31</v>
      </c>
      <c r="L8" t="s">
        <v>32</v>
      </c>
      <c r="M8">
        <v>49</v>
      </c>
      <c r="N8" t="s">
        <v>75</v>
      </c>
      <c r="O8" t="s">
        <v>34</v>
      </c>
      <c r="P8" t="s">
        <v>76</v>
      </c>
      <c r="Q8" t="s">
        <v>77</v>
      </c>
      <c r="R8">
        <v>2</v>
      </c>
      <c r="S8">
        <v>2</v>
      </c>
      <c r="T8" t="s">
        <v>66</v>
      </c>
      <c r="U8">
        <v>2</v>
      </c>
      <c r="V8">
        <v>1</v>
      </c>
      <c r="W8">
        <v>18</v>
      </c>
      <c r="X8">
        <v>52</v>
      </c>
      <c r="Y8" t="s">
        <v>78</v>
      </c>
      <c r="Z8" t="b">
        <v>1</v>
      </c>
      <c r="AA8" t="s">
        <v>28</v>
      </c>
      <c r="AB8" t="s">
        <v>79</v>
      </c>
      <c r="AC8" t="s">
        <v>41</v>
      </c>
      <c r="AD8" s="7" t="b">
        <v>1</v>
      </c>
      <c r="AE8" s="6" t="s">
        <v>207</v>
      </c>
    </row>
    <row r="9" spans="1:31" x14ac:dyDescent="0.3">
      <c r="A9">
        <v>8</v>
      </c>
      <c r="B9" s="1">
        <v>44028</v>
      </c>
      <c r="C9" t="s">
        <v>56</v>
      </c>
      <c r="D9">
        <v>37</v>
      </c>
      <c r="E9" t="s">
        <v>28</v>
      </c>
      <c r="F9" t="s">
        <v>80</v>
      </c>
      <c r="G9" t="s">
        <v>248</v>
      </c>
      <c r="H9" t="s">
        <v>43</v>
      </c>
      <c r="J9" t="b">
        <v>1</v>
      </c>
      <c r="K9" t="s">
        <v>81</v>
      </c>
      <c r="L9" t="s">
        <v>82</v>
      </c>
      <c r="M9">
        <v>96</v>
      </c>
      <c r="N9" t="s">
        <v>83</v>
      </c>
      <c r="O9" t="s">
        <v>34</v>
      </c>
      <c r="P9" s="3">
        <v>46054</v>
      </c>
      <c r="Q9" t="s">
        <v>60</v>
      </c>
      <c r="R9">
        <v>2</v>
      </c>
      <c r="S9">
        <v>1</v>
      </c>
      <c r="T9" t="s">
        <v>53</v>
      </c>
      <c r="U9">
        <v>0</v>
      </c>
      <c r="V9">
        <v>1</v>
      </c>
      <c r="W9">
        <v>5</v>
      </c>
      <c r="X9">
        <v>83</v>
      </c>
      <c r="Y9" t="s">
        <v>38</v>
      </c>
      <c r="Z9" t="b">
        <v>1</v>
      </c>
      <c r="AA9" t="s">
        <v>28</v>
      </c>
      <c r="AB9" t="s">
        <v>84</v>
      </c>
      <c r="AC9" t="s">
        <v>41</v>
      </c>
      <c r="AD9" s="7" t="b">
        <v>1</v>
      </c>
      <c r="AE9" s="6" t="s">
        <v>208</v>
      </c>
    </row>
    <row r="10" spans="1:31" x14ac:dyDescent="0.3">
      <c r="A10">
        <v>9</v>
      </c>
      <c r="B10" s="1">
        <v>44108</v>
      </c>
      <c r="C10" t="s">
        <v>85</v>
      </c>
      <c r="D10">
        <v>5</v>
      </c>
      <c r="E10" t="s">
        <v>28</v>
      </c>
      <c r="F10" t="s">
        <v>42</v>
      </c>
      <c r="G10" t="s">
        <v>248</v>
      </c>
      <c r="H10" t="s">
        <v>74</v>
      </c>
      <c r="J10" t="b">
        <v>0</v>
      </c>
      <c r="K10" t="s">
        <v>86</v>
      </c>
      <c r="L10" t="s">
        <v>44</v>
      </c>
      <c r="M10">
        <v>69</v>
      </c>
      <c r="N10" t="s">
        <v>87</v>
      </c>
      <c r="O10" t="s">
        <v>34</v>
      </c>
      <c r="P10" s="2">
        <v>36526</v>
      </c>
      <c r="Q10" t="s">
        <v>60</v>
      </c>
      <c r="R10">
        <v>2</v>
      </c>
      <c r="S10">
        <v>0</v>
      </c>
      <c r="T10" t="s">
        <v>53</v>
      </c>
      <c r="U10">
        <v>0</v>
      </c>
      <c r="V10">
        <v>4</v>
      </c>
      <c r="W10">
        <v>18</v>
      </c>
      <c r="X10">
        <v>7</v>
      </c>
      <c r="Y10" t="s">
        <v>88</v>
      </c>
      <c r="Z10" t="b">
        <v>0</v>
      </c>
      <c r="AA10" t="s">
        <v>89</v>
      </c>
      <c r="AB10" t="s">
        <v>90</v>
      </c>
      <c r="AC10" t="s">
        <v>41</v>
      </c>
      <c r="AD10" s="7" t="b">
        <v>1</v>
      </c>
      <c r="AE10" s="6" t="s">
        <v>209</v>
      </c>
    </row>
    <row r="11" spans="1:31" x14ac:dyDescent="0.3">
      <c r="A11">
        <v>10</v>
      </c>
      <c r="B11" s="1">
        <v>44241</v>
      </c>
      <c r="C11" t="s">
        <v>85</v>
      </c>
      <c r="D11">
        <v>23</v>
      </c>
      <c r="E11" t="s">
        <v>28</v>
      </c>
      <c r="F11" t="s">
        <v>91</v>
      </c>
      <c r="G11" t="s">
        <v>248</v>
      </c>
      <c r="H11" t="s">
        <v>92</v>
      </c>
      <c r="J11" t="b">
        <v>1</v>
      </c>
      <c r="K11" t="s">
        <v>31</v>
      </c>
      <c r="L11" t="s">
        <v>32</v>
      </c>
      <c r="M11">
        <v>62</v>
      </c>
      <c r="N11" t="s">
        <v>93</v>
      </c>
      <c r="O11" t="s">
        <v>34</v>
      </c>
      <c r="P11" s="2">
        <v>36557</v>
      </c>
      <c r="Q11" t="s">
        <v>60</v>
      </c>
      <c r="R11">
        <v>2</v>
      </c>
      <c r="S11">
        <v>0</v>
      </c>
      <c r="T11" t="s">
        <v>53</v>
      </c>
      <c r="U11">
        <v>0</v>
      </c>
      <c r="V11">
        <v>3</v>
      </c>
      <c r="W11">
        <v>12</v>
      </c>
      <c r="X11">
        <v>46</v>
      </c>
      <c r="Y11" t="s">
        <v>67</v>
      </c>
      <c r="Z11" t="b">
        <v>0</v>
      </c>
      <c r="AA11" t="s">
        <v>89</v>
      </c>
      <c r="AB11" t="s">
        <v>94</v>
      </c>
      <c r="AC11" t="s">
        <v>41</v>
      </c>
      <c r="AD11" s="7" t="b">
        <v>1</v>
      </c>
      <c r="AE11" s="6" t="s">
        <v>210</v>
      </c>
    </row>
    <row r="12" spans="1:31" x14ac:dyDescent="0.3">
      <c r="A12">
        <v>11</v>
      </c>
      <c r="B12" s="1">
        <v>44289</v>
      </c>
      <c r="C12" t="s">
        <v>85</v>
      </c>
      <c r="D12">
        <v>29</v>
      </c>
      <c r="E12" t="s">
        <v>28</v>
      </c>
      <c r="F12" t="s">
        <v>95</v>
      </c>
      <c r="G12" t="s">
        <v>248</v>
      </c>
      <c r="H12" t="s">
        <v>43</v>
      </c>
      <c r="J12" t="b">
        <v>1</v>
      </c>
      <c r="K12" t="s">
        <v>31</v>
      </c>
      <c r="L12" t="s">
        <v>44</v>
      </c>
      <c r="M12">
        <v>38</v>
      </c>
      <c r="N12" t="s">
        <v>96</v>
      </c>
      <c r="O12" t="s">
        <v>46</v>
      </c>
      <c r="P12" t="s">
        <v>51</v>
      </c>
      <c r="Q12" t="s">
        <v>52</v>
      </c>
      <c r="R12">
        <v>2</v>
      </c>
      <c r="S12">
        <v>0</v>
      </c>
      <c r="T12" t="s">
        <v>53</v>
      </c>
      <c r="U12">
        <v>0</v>
      </c>
      <c r="V12">
        <v>3</v>
      </c>
      <c r="W12">
        <v>19</v>
      </c>
      <c r="X12">
        <v>60</v>
      </c>
      <c r="Y12" t="s">
        <v>97</v>
      </c>
      <c r="Z12" t="b">
        <v>0</v>
      </c>
      <c r="AA12" t="s">
        <v>89</v>
      </c>
      <c r="AB12" t="s">
        <v>79</v>
      </c>
      <c r="AC12" t="s">
        <v>41</v>
      </c>
      <c r="AD12" s="7" t="b">
        <v>1</v>
      </c>
      <c r="AE12" s="6" t="s">
        <v>211</v>
      </c>
    </row>
    <row r="13" spans="1:31" x14ac:dyDescent="0.3">
      <c r="A13">
        <v>12</v>
      </c>
      <c r="B13" s="1">
        <v>44325</v>
      </c>
      <c r="C13" t="s">
        <v>85</v>
      </c>
      <c r="D13">
        <v>35</v>
      </c>
      <c r="E13" t="s">
        <v>28</v>
      </c>
      <c r="F13" t="s">
        <v>29</v>
      </c>
      <c r="G13" t="s">
        <v>248</v>
      </c>
      <c r="H13" t="s">
        <v>98</v>
      </c>
      <c r="I13" t="s">
        <v>99</v>
      </c>
      <c r="J13" t="b">
        <v>1</v>
      </c>
      <c r="K13" t="s">
        <v>31</v>
      </c>
      <c r="L13" t="s">
        <v>100</v>
      </c>
      <c r="M13">
        <v>12</v>
      </c>
      <c r="N13" t="s">
        <v>71</v>
      </c>
      <c r="O13" t="s">
        <v>46</v>
      </c>
      <c r="P13" t="s">
        <v>51</v>
      </c>
      <c r="Q13" t="s">
        <v>52</v>
      </c>
      <c r="R13">
        <v>2</v>
      </c>
      <c r="S13">
        <v>2</v>
      </c>
      <c r="T13" t="s">
        <v>66</v>
      </c>
      <c r="U13">
        <v>2</v>
      </c>
      <c r="V13">
        <v>3</v>
      </c>
      <c r="W13">
        <v>4</v>
      </c>
      <c r="X13">
        <v>74</v>
      </c>
      <c r="Y13" t="s">
        <v>54</v>
      </c>
      <c r="Z13" t="b">
        <v>0</v>
      </c>
      <c r="AA13" t="s">
        <v>89</v>
      </c>
      <c r="AB13" t="s">
        <v>101</v>
      </c>
      <c r="AC13" t="s">
        <v>41</v>
      </c>
      <c r="AD13" s="7" t="b">
        <v>1</v>
      </c>
      <c r="AE13" s="6" t="s">
        <v>212</v>
      </c>
    </row>
    <row r="14" spans="1:31" x14ac:dyDescent="0.3">
      <c r="A14">
        <v>13</v>
      </c>
      <c r="B14" s="1">
        <v>44338</v>
      </c>
      <c r="C14" t="s">
        <v>85</v>
      </c>
      <c r="D14">
        <v>38</v>
      </c>
      <c r="E14" t="s">
        <v>28</v>
      </c>
      <c r="F14" t="s">
        <v>80</v>
      </c>
      <c r="G14" t="s">
        <v>248</v>
      </c>
      <c r="H14" t="s">
        <v>98</v>
      </c>
      <c r="J14" t="b">
        <v>1</v>
      </c>
      <c r="K14" t="s">
        <v>31</v>
      </c>
      <c r="L14" t="s">
        <v>44</v>
      </c>
      <c r="M14">
        <v>58</v>
      </c>
      <c r="N14" t="s">
        <v>59</v>
      </c>
      <c r="O14" t="s">
        <v>34</v>
      </c>
      <c r="P14" t="s">
        <v>76</v>
      </c>
      <c r="Q14" t="s">
        <v>77</v>
      </c>
      <c r="R14">
        <v>2</v>
      </c>
      <c r="S14">
        <v>1</v>
      </c>
      <c r="T14" t="s">
        <v>53</v>
      </c>
      <c r="U14">
        <v>0</v>
      </c>
      <c r="V14">
        <v>2</v>
      </c>
      <c r="W14">
        <v>6</v>
      </c>
      <c r="X14">
        <v>81</v>
      </c>
      <c r="Y14" t="s">
        <v>88</v>
      </c>
      <c r="Z14" t="b">
        <v>0</v>
      </c>
      <c r="AA14" t="s">
        <v>89</v>
      </c>
      <c r="AB14" t="s">
        <v>102</v>
      </c>
      <c r="AC14" t="s">
        <v>41</v>
      </c>
      <c r="AD14" s="7" t="b">
        <v>1</v>
      </c>
      <c r="AE14" s="6" t="s">
        <v>213</v>
      </c>
    </row>
    <row r="15" spans="1:31" x14ac:dyDescent="0.3">
      <c r="A15">
        <v>14</v>
      </c>
      <c r="B15" s="1">
        <v>44461</v>
      </c>
      <c r="C15" t="s">
        <v>103</v>
      </c>
      <c r="D15">
        <v>6</v>
      </c>
      <c r="E15" t="s">
        <v>28</v>
      </c>
      <c r="F15" t="s">
        <v>104</v>
      </c>
      <c r="G15" t="s">
        <v>249</v>
      </c>
      <c r="H15" t="s">
        <v>98</v>
      </c>
      <c r="J15" t="b">
        <v>1</v>
      </c>
      <c r="K15" t="s">
        <v>105</v>
      </c>
      <c r="L15" t="s">
        <v>106</v>
      </c>
      <c r="M15">
        <v>49</v>
      </c>
      <c r="N15" t="s">
        <v>75</v>
      </c>
      <c r="O15" t="s">
        <v>34</v>
      </c>
      <c r="P15" s="3">
        <v>46082</v>
      </c>
      <c r="Q15" t="s">
        <v>60</v>
      </c>
      <c r="R15">
        <v>6</v>
      </c>
      <c r="S15">
        <v>1</v>
      </c>
      <c r="T15" t="s">
        <v>53</v>
      </c>
      <c r="U15">
        <v>0</v>
      </c>
      <c r="V15">
        <v>2</v>
      </c>
      <c r="W15">
        <v>10</v>
      </c>
      <c r="X15">
        <v>13</v>
      </c>
      <c r="Y15" t="s">
        <v>78</v>
      </c>
      <c r="Z15" t="b">
        <v>1</v>
      </c>
      <c r="AA15" t="s">
        <v>28</v>
      </c>
      <c r="AB15" t="s">
        <v>107</v>
      </c>
      <c r="AC15" t="s">
        <v>41</v>
      </c>
      <c r="AD15" s="7" t="b">
        <v>1</v>
      </c>
      <c r="AE15" s="6" t="s">
        <v>214</v>
      </c>
    </row>
    <row r="16" spans="1:31" x14ac:dyDescent="0.3">
      <c r="A16">
        <v>15</v>
      </c>
      <c r="B16" s="1">
        <v>44618</v>
      </c>
      <c r="C16" t="s">
        <v>103</v>
      </c>
      <c r="D16">
        <v>26</v>
      </c>
      <c r="E16" t="s">
        <v>28</v>
      </c>
      <c r="F16" t="s">
        <v>108</v>
      </c>
      <c r="G16" t="s">
        <v>249</v>
      </c>
      <c r="H16" t="s">
        <v>70</v>
      </c>
      <c r="J16" t="b">
        <v>0</v>
      </c>
      <c r="K16" t="s">
        <v>31</v>
      </c>
      <c r="L16" t="s">
        <v>32</v>
      </c>
      <c r="M16">
        <v>39</v>
      </c>
      <c r="N16" t="s">
        <v>109</v>
      </c>
      <c r="O16" t="s">
        <v>46</v>
      </c>
      <c r="P16" t="s">
        <v>51</v>
      </c>
      <c r="Q16" t="s">
        <v>52</v>
      </c>
      <c r="R16">
        <v>1</v>
      </c>
      <c r="S16">
        <v>0</v>
      </c>
      <c r="T16" t="s">
        <v>53</v>
      </c>
      <c r="U16">
        <v>0</v>
      </c>
      <c r="V16">
        <v>1</v>
      </c>
      <c r="W16">
        <v>12</v>
      </c>
      <c r="X16">
        <v>57</v>
      </c>
      <c r="Y16" t="s">
        <v>97</v>
      </c>
      <c r="Z16" t="b">
        <v>1</v>
      </c>
      <c r="AA16" t="s">
        <v>28</v>
      </c>
      <c r="AB16" t="s">
        <v>110</v>
      </c>
      <c r="AC16" t="s">
        <v>41</v>
      </c>
      <c r="AD16" s="7" t="b">
        <v>1</v>
      </c>
      <c r="AE16" s="6" t="s">
        <v>215</v>
      </c>
    </row>
    <row r="17" spans="1:31" x14ac:dyDescent="0.3">
      <c r="A17">
        <v>16</v>
      </c>
      <c r="B17" s="1">
        <v>44625</v>
      </c>
      <c r="C17" t="s">
        <v>103</v>
      </c>
      <c r="D17">
        <v>27</v>
      </c>
      <c r="E17" t="s">
        <v>28</v>
      </c>
      <c r="F17" t="s">
        <v>111</v>
      </c>
      <c r="G17" t="s">
        <v>249</v>
      </c>
      <c r="H17" t="s">
        <v>98</v>
      </c>
      <c r="J17" t="b">
        <v>1</v>
      </c>
      <c r="K17" t="s">
        <v>31</v>
      </c>
      <c r="L17" t="s">
        <v>32</v>
      </c>
      <c r="M17">
        <v>69</v>
      </c>
      <c r="N17" t="s">
        <v>87</v>
      </c>
      <c r="O17" t="s">
        <v>34</v>
      </c>
      <c r="P17" s="3">
        <v>46054</v>
      </c>
      <c r="Q17" t="s">
        <v>60</v>
      </c>
      <c r="R17">
        <v>4</v>
      </c>
      <c r="S17">
        <v>1</v>
      </c>
      <c r="T17" t="s">
        <v>53</v>
      </c>
      <c r="U17">
        <v>0</v>
      </c>
      <c r="V17">
        <v>1</v>
      </c>
      <c r="W17">
        <v>6</v>
      </c>
      <c r="X17">
        <v>60</v>
      </c>
      <c r="Y17" t="s">
        <v>112</v>
      </c>
      <c r="Z17" t="b">
        <v>1</v>
      </c>
      <c r="AA17" t="s">
        <v>28</v>
      </c>
      <c r="AB17" t="s">
        <v>102</v>
      </c>
      <c r="AC17" t="s">
        <v>41</v>
      </c>
      <c r="AD17" s="7" t="b">
        <v>1</v>
      </c>
      <c r="AE17" s="6" t="s">
        <v>216</v>
      </c>
    </row>
    <row r="18" spans="1:31" x14ac:dyDescent="0.3">
      <c r="A18">
        <v>17</v>
      </c>
      <c r="B18" s="1">
        <v>44668</v>
      </c>
      <c r="C18" t="s">
        <v>103</v>
      </c>
      <c r="D18">
        <v>32</v>
      </c>
      <c r="E18" t="s">
        <v>28</v>
      </c>
      <c r="F18" t="s">
        <v>29</v>
      </c>
      <c r="G18" t="s">
        <v>249</v>
      </c>
      <c r="H18" t="s">
        <v>113</v>
      </c>
      <c r="J18" t="b">
        <v>0</v>
      </c>
      <c r="K18" t="s">
        <v>81</v>
      </c>
      <c r="L18" t="s">
        <v>82</v>
      </c>
      <c r="M18">
        <v>76</v>
      </c>
      <c r="N18" t="s">
        <v>114</v>
      </c>
      <c r="O18" t="s">
        <v>34</v>
      </c>
      <c r="P18" s="3">
        <v>46024</v>
      </c>
      <c r="Q18" t="s">
        <v>77</v>
      </c>
      <c r="R18">
        <v>3</v>
      </c>
      <c r="S18">
        <v>2</v>
      </c>
      <c r="T18" t="s">
        <v>53</v>
      </c>
      <c r="U18">
        <v>0</v>
      </c>
      <c r="V18">
        <v>1</v>
      </c>
      <c r="W18">
        <v>3</v>
      </c>
      <c r="X18">
        <v>72</v>
      </c>
      <c r="Y18" t="s">
        <v>48</v>
      </c>
      <c r="Z18" t="b">
        <v>1</v>
      </c>
      <c r="AA18" t="s">
        <v>28</v>
      </c>
      <c r="AB18" t="s">
        <v>115</v>
      </c>
      <c r="AC18" t="s">
        <v>41</v>
      </c>
      <c r="AD18" s="7" t="b">
        <v>1</v>
      </c>
      <c r="AE18" s="6" t="s">
        <v>222</v>
      </c>
    </row>
    <row r="19" spans="1:31" x14ac:dyDescent="0.3">
      <c r="A19">
        <v>18</v>
      </c>
      <c r="B19" s="1">
        <v>44681</v>
      </c>
      <c r="C19" t="s">
        <v>103</v>
      </c>
      <c r="D19">
        <v>34</v>
      </c>
      <c r="E19" t="s">
        <v>28</v>
      </c>
      <c r="F19" t="s">
        <v>116</v>
      </c>
      <c r="G19" t="s">
        <v>249</v>
      </c>
      <c r="H19" t="s">
        <v>117</v>
      </c>
      <c r="J19" t="b">
        <v>1</v>
      </c>
      <c r="K19" t="s">
        <v>31</v>
      </c>
      <c r="L19" t="s">
        <v>32</v>
      </c>
      <c r="M19">
        <v>72</v>
      </c>
      <c r="N19" t="s">
        <v>118</v>
      </c>
      <c r="O19" t="s">
        <v>34</v>
      </c>
      <c r="P19" s="2">
        <v>36586</v>
      </c>
      <c r="Q19" t="s">
        <v>60</v>
      </c>
      <c r="R19">
        <v>4</v>
      </c>
      <c r="S19">
        <v>0</v>
      </c>
      <c r="T19" t="s">
        <v>53</v>
      </c>
      <c r="U19">
        <v>0</v>
      </c>
      <c r="V19">
        <v>1</v>
      </c>
      <c r="W19">
        <v>13</v>
      </c>
      <c r="X19">
        <v>78</v>
      </c>
      <c r="Y19" t="s">
        <v>88</v>
      </c>
      <c r="Z19" t="b">
        <v>1</v>
      </c>
      <c r="AA19" t="s">
        <v>28</v>
      </c>
      <c r="AB19" t="s">
        <v>119</v>
      </c>
      <c r="AC19" t="s">
        <v>41</v>
      </c>
      <c r="AD19" s="7" t="b">
        <v>1</v>
      </c>
      <c r="AE19" s="6" t="s">
        <v>217</v>
      </c>
    </row>
    <row r="20" spans="1:31" x14ac:dyDescent="0.3">
      <c r="A20">
        <v>19</v>
      </c>
      <c r="B20" s="1">
        <v>44836</v>
      </c>
      <c r="C20" t="s">
        <v>120</v>
      </c>
      <c r="D20">
        <v>7</v>
      </c>
      <c r="E20" t="s">
        <v>28</v>
      </c>
      <c r="F20" t="s">
        <v>57</v>
      </c>
      <c r="G20" t="s">
        <v>249</v>
      </c>
      <c r="H20" t="s">
        <v>98</v>
      </c>
      <c r="J20" t="b">
        <v>1</v>
      </c>
      <c r="K20" t="s">
        <v>31</v>
      </c>
      <c r="L20" t="s">
        <v>32</v>
      </c>
      <c r="M20">
        <v>81</v>
      </c>
      <c r="N20" t="s">
        <v>121</v>
      </c>
      <c r="O20" t="s">
        <v>34</v>
      </c>
      <c r="P20" s="3">
        <v>46023</v>
      </c>
      <c r="Q20" t="s">
        <v>52</v>
      </c>
      <c r="R20">
        <v>1</v>
      </c>
      <c r="S20">
        <v>1</v>
      </c>
      <c r="T20" t="s">
        <v>66</v>
      </c>
      <c r="U20">
        <v>2</v>
      </c>
      <c r="V20">
        <v>2</v>
      </c>
      <c r="W20">
        <v>8</v>
      </c>
      <c r="X20">
        <v>18</v>
      </c>
      <c r="Y20" t="s">
        <v>48</v>
      </c>
      <c r="Z20" t="b">
        <v>0</v>
      </c>
      <c r="AA20" t="s">
        <v>39</v>
      </c>
      <c r="AB20" t="s">
        <v>79</v>
      </c>
      <c r="AC20" t="s">
        <v>41</v>
      </c>
      <c r="AD20" s="7" t="b">
        <v>1</v>
      </c>
      <c r="AE20" s="6" t="s">
        <v>218</v>
      </c>
    </row>
    <row r="21" spans="1:31" x14ac:dyDescent="0.3">
      <c r="A21">
        <v>20</v>
      </c>
      <c r="B21" s="1">
        <v>44842</v>
      </c>
      <c r="C21" t="s">
        <v>120</v>
      </c>
      <c r="D21">
        <v>8</v>
      </c>
      <c r="E21" t="s">
        <v>28</v>
      </c>
      <c r="F21" t="s">
        <v>122</v>
      </c>
      <c r="G21" t="s">
        <v>249</v>
      </c>
      <c r="H21" t="s">
        <v>123</v>
      </c>
      <c r="J21" t="b">
        <v>0</v>
      </c>
      <c r="K21" t="s">
        <v>31</v>
      </c>
      <c r="L21" t="s">
        <v>32</v>
      </c>
      <c r="M21">
        <v>57</v>
      </c>
      <c r="N21" t="s">
        <v>124</v>
      </c>
      <c r="O21" t="s">
        <v>34</v>
      </c>
      <c r="P21" s="2">
        <v>36526</v>
      </c>
      <c r="Q21" t="s">
        <v>60</v>
      </c>
      <c r="R21">
        <v>1</v>
      </c>
      <c r="S21">
        <v>0</v>
      </c>
      <c r="T21" t="s">
        <v>53</v>
      </c>
      <c r="U21">
        <v>0</v>
      </c>
      <c r="V21">
        <v>2</v>
      </c>
      <c r="W21">
        <v>15</v>
      </c>
      <c r="X21">
        <v>19</v>
      </c>
      <c r="Y21" t="s">
        <v>61</v>
      </c>
      <c r="Z21" t="b">
        <v>0</v>
      </c>
      <c r="AA21" t="s">
        <v>39</v>
      </c>
      <c r="AB21" t="s">
        <v>125</v>
      </c>
      <c r="AC21" t="s">
        <v>41</v>
      </c>
      <c r="AD21" s="7" t="b">
        <v>1</v>
      </c>
      <c r="AE21" s="6" t="s">
        <v>220</v>
      </c>
    </row>
    <row r="22" spans="1:31" x14ac:dyDescent="0.3">
      <c r="A22">
        <v>21</v>
      </c>
      <c r="B22" s="1">
        <v>44853</v>
      </c>
      <c r="C22" t="s">
        <v>120</v>
      </c>
      <c r="D22">
        <v>10</v>
      </c>
      <c r="E22" t="s">
        <v>28</v>
      </c>
      <c r="F22" t="s">
        <v>126</v>
      </c>
      <c r="G22" t="s">
        <v>249</v>
      </c>
      <c r="H22" t="s">
        <v>98</v>
      </c>
      <c r="I22" t="s">
        <v>127</v>
      </c>
      <c r="J22" t="b">
        <v>0</v>
      </c>
      <c r="K22" t="s">
        <v>31</v>
      </c>
      <c r="L22" t="s">
        <v>100</v>
      </c>
      <c r="M22">
        <v>61</v>
      </c>
      <c r="N22" t="s">
        <v>128</v>
      </c>
      <c r="O22" t="s">
        <v>34</v>
      </c>
      <c r="P22" s="2">
        <v>36526</v>
      </c>
      <c r="Q22" t="s">
        <v>60</v>
      </c>
      <c r="R22">
        <v>3</v>
      </c>
      <c r="S22">
        <v>0</v>
      </c>
      <c r="T22" t="s">
        <v>53</v>
      </c>
      <c r="U22">
        <v>0</v>
      </c>
      <c r="V22">
        <v>1</v>
      </c>
      <c r="W22">
        <v>20</v>
      </c>
      <c r="X22">
        <v>25</v>
      </c>
      <c r="Y22" t="s">
        <v>112</v>
      </c>
      <c r="Z22" t="b">
        <v>0</v>
      </c>
      <c r="AA22" t="s">
        <v>39</v>
      </c>
      <c r="AB22" t="s">
        <v>119</v>
      </c>
      <c r="AC22" t="s">
        <v>41</v>
      </c>
      <c r="AD22" s="7" t="b">
        <v>1</v>
      </c>
      <c r="AE22" s="6" t="s">
        <v>221</v>
      </c>
    </row>
    <row r="23" spans="1:31" x14ac:dyDescent="0.3">
      <c r="A23">
        <v>22</v>
      </c>
      <c r="B23" s="1">
        <v>44853</v>
      </c>
      <c r="C23" t="s">
        <v>120</v>
      </c>
      <c r="D23">
        <v>10</v>
      </c>
      <c r="E23" t="s">
        <v>28</v>
      </c>
      <c r="F23" t="s">
        <v>126</v>
      </c>
      <c r="G23" t="s">
        <v>249</v>
      </c>
      <c r="H23" t="s">
        <v>129</v>
      </c>
      <c r="J23" t="b">
        <v>0</v>
      </c>
      <c r="K23" t="s">
        <v>31</v>
      </c>
      <c r="L23" t="s">
        <v>32</v>
      </c>
      <c r="M23">
        <v>26</v>
      </c>
      <c r="N23" t="s">
        <v>130</v>
      </c>
      <c r="O23" t="s">
        <v>46</v>
      </c>
      <c r="P23" s="2">
        <v>36526</v>
      </c>
      <c r="Q23" t="s">
        <v>60</v>
      </c>
      <c r="R23">
        <v>3</v>
      </c>
      <c r="S23">
        <v>0</v>
      </c>
      <c r="T23" t="s">
        <v>53</v>
      </c>
      <c r="U23">
        <v>0</v>
      </c>
      <c r="V23">
        <v>1</v>
      </c>
      <c r="W23">
        <v>20</v>
      </c>
      <c r="X23">
        <v>25</v>
      </c>
      <c r="Y23" t="s">
        <v>112</v>
      </c>
      <c r="Z23" t="b">
        <v>0</v>
      </c>
      <c r="AA23" t="s">
        <v>39</v>
      </c>
      <c r="AB23" t="s">
        <v>94</v>
      </c>
      <c r="AC23" t="s">
        <v>41</v>
      </c>
      <c r="AD23" s="7" t="b">
        <v>1</v>
      </c>
      <c r="AE23" s="6" t="s">
        <v>221</v>
      </c>
    </row>
    <row r="24" spans="1:31" x14ac:dyDescent="0.3">
      <c r="A24">
        <v>23</v>
      </c>
      <c r="B24" s="1">
        <v>44853</v>
      </c>
      <c r="C24" t="s">
        <v>120</v>
      </c>
      <c r="D24">
        <v>10</v>
      </c>
      <c r="E24" t="s">
        <v>28</v>
      </c>
      <c r="F24" t="s">
        <v>126</v>
      </c>
      <c r="G24" t="s">
        <v>249</v>
      </c>
      <c r="H24" t="s">
        <v>98</v>
      </c>
      <c r="I24" t="s">
        <v>131</v>
      </c>
      <c r="J24" t="b">
        <v>0</v>
      </c>
      <c r="K24" t="s">
        <v>31</v>
      </c>
      <c r="L24" t="s">
        <v>100</v>
      </c>
      <c r="M24">
        <v>6</v>
      </c>
      <c r="N24" t="s">
        <v>132</v>
      </c>
      <c r="O24" t="s">
        <v>46</v>
      </c>
      <c r="P24" t="s">
        <v>51</v>
      </c>
      <c r="Q24" t="s">
        <v>52</v>
      </c>
      <c r="R24">
        <v>3</v>
      </c>
      <c r="S24">
        <v>0</v>
      </c>
      <c r="T24" t="s">
        <v>53</v>
      </c>
      <c r="U24">
        <v>0</v>
      </c>
      <c r="V24">
        <v>1</v>
      </c>
      <c r="W24">
        <v>20</v>
      </c>
      <c r="X24">
        <v>25</v>
      </c>
      <c r="Y24" t="s">
        <v>112</v>
      </c>
      <c r="Z24" t="b">
        <v>0</v>
      </c>
      <c r="AA24" t="s">
        <v>39</v>
      </c>
      <c r="AB24" t="s">
        <v>79</v>
      </c>
      <c r="AC24" t="s">
        <v>41</v>
      </c>
      <c r="AD24" s="7" t="b">
        <v>1</v>
      </c>
      <c r="AE24" s="6" t="s">
        <v>221</v>
      </c>
    </row>
    <row r="25" spans="1:31" x14ac:dyDescent="0.3">
      <c r="A25">
        <v>24</v>
      </c>
      <c r="B25" s="1">
        <v>44864</v>
      </c>
      <c r="C25" t="s">
        <v>120</v>
      </c>
      <c r="D25">
        <v>12</v>
      </c>
      <c r="E25" t="s">
        <v>28</v>
      </c>
      <c r="F25" t="s">
        <v>133</v>
      </c>
      <c r="G25" t="s">
        <v>249</v>
      </c>
      <c r="H25" t="s">
        <v>123</v>
      </c>
      <c r="J25" t="b">
        <v>1</v>
      </c>
      <c r="K25" t="s">
        <v>86</v>
      </c>
      <c r="L25" t="s">
        <v>134</v>
      </c>
      <c r="M25">
        <v>90</v>
      </c>
      <c r="N25" t="s">
        <v>135</v>
      </c>
      <c r="O25" t="s">
        <v>34</v>
      </c>
      <c r="P25" s="3">
        <v>46023</v>
      </c>
      <c r="Q25" t="s">
        <v>52</v>
      </c>
      <c r="R25">
        <v>1</v>
      </c>
      <c r="S25">
        <v>1</v>
      </c>
      <c r="T25" t="s">
        <v>66</v>
      </c>
      <c r="U25">
        <v>2</v>
      </c>
      <c r="V25">
        <v>2</v>
      </c>
      <c r="W25">
        <v>19</v>
      </c>
      <c r="X25">
        <v>31</v>
      </c>
      <c r="Y25" t="s">
        <v>136</v>
      </c>
      <c r="Z25" t="b">
        <v>0</v>
      </c>
      <c r="AA25" t="s">
        <v>39</v>
      </c>
      <c r="AB25" t="s">
        <v>137</v>
      </c>
      <c r="AC25" t="s">
        <v>41</v>
      </c>
      <c r="AD25" s="7" t="b">
        <v>1</v>
      </c>
      <c r="AE25" s="6" t="s">
        <v>219</v>
      </c>
    </row>
    <row r="26" spans="1:31" x14ac:dyDescent="0.3">
      <c r="A26">
        <v>25</v>
      </c>
      <c r="B26" s="1">
        <v>44959</v>
      </c>
      <c r="C26" t="s">
        <v>120</v>
      </c>
      <c r="D26">
        <v>17</v>
      </c>
      <c r="E26" t="s">
        <v>28</v>
      </c>
      <c r="F26" t="s">
        <v>91</v>
      </c>
      <c r="G26" t="s">
        <v>249</v>
      </c>
      <c r="H26" t="s">
        <v>138</v>
      </c>
      <c r="J26" t="b">
        <v>1</v>
      </c>
      <c r="K26" t="s">
        <v>105</v>
      </c>
      <c r="L26" t="s">
        <v>106</v>
      </c>
      <c r="M26">
        <v>48</v>
      </c>
      <c r="N26" t="s">
        <v>139</v>
      </c>
      <c r="O26" t="s">
        <v>46</v>
      </c>
      <c r="P26" s="8" t="s">
        <v>51</v>
      </c>
      <c r="Q26" t="s">
        <v>52</v>
      </c>
      <c r="R26">
        <v>2</v>
      </c>
      <c r="S26">
        <v>0</v>
      </c>
      <c r="T26" t="s">
        <v>53</v>
      </c>
      <c r="U26">
        <v>0</v>
      </c>
      <c r="V26">
        <v>2</v>
      </c>
      <c r="W26">
        <v>14</v>
      </c>
      <c r="X26">
        <v>42</v>
      </c>
      <c r="Y26" t="s">
        <v>78</v>
      </c>
      <c r="Z26" t="b">
        <v>0</v>
      </c>
      <c r="AA26" t="s">
        <v>39</v>
      </c>
      <c r="AB26" t="s">
        <v>140</v>
      </c>
      <c r="AC26" t="s">
        <v>41</v>
      </c>
      <c r="AD26" s="5" t="b">
        <v>1</v>
      </c>
      <c r="AE26" s="6" t="s">
        <v>223</v>
      </c>
    </row>
    <row r="27" spans="1:31" x14ac:dyDescent="0.3">
      <c r="A27">
        <v>26</v>
      </c>
      <c r="B27" s="1">
        <v>44975</v>
      </c>
      <c r="C27" t="s">
        <v>120</v>
      </c>
      <c r="D27">
        <v>22</v>
      </c>
      <c r="E27" t="s">
        <v>28</v>
      </c>
      <c r="F27" t="s">
        <v>57</v>
      </c>
      <c r="G27" t="s">
        <v>249</v>
      </c>
      <c r="H27" t="s">
        <v>113</v>
      </c>
      <c r="I27" t="s">
        <v>141</v>
      </c>
      <c r="J27" t="b">
        <v>0</v>
      </c>
      <c r="K27" t="s">
        <v>31</v>
      </c>
      <c r="L27" t="s">
        <v>100</v>
      </c>
      <c r="M27">
        <v>89</v>
      </c>
      <c r="N27" t="s">
        <v>142</v>
      </c>
      <c r="O27" t="s">
        <v>34</v>
      </c>
      <c r="P27" s="8" t="s">
        <v>224</v>
      </c>
      <c r="Q27" t="s">
        <v>60</v>
      </c>
      <c r="R27">
        <v>2</v>
      </c>
      <c r="S27">
        <v>0</v>
      </c>
      <c r="T27" t="s">
        <v>53</v>
      </c>
      <c r="U27">
        <v>0</v>
      </c>
      <c r="V27">
        <v>2</v>
      </c>
      <c r="W27">
        <v>10</v>
      </c>
      <c r="X27">
        <v>48</v>
      </c>
      <c r="Y27" t="s">
        <v>88</v>
      </c>
      <c r="Z27" t="b">
        <v>0</v>
      </c>
      <c r="AA27" t="s">
        <v>39</v>
      </c>
      <c r="AB27" t="s">
        <v>125</v>
      </c>
      <c r="AC27" t="s">
        <v>41</v>
      </c>
      <c r="AD27" s="5" t="b">
        <v>1</v>
      </c>
      <c r="AE27" s="6" t="s">
        <v>225</v>
      </c>
    </row>
    <row r="28" spans="1:31" x14ac:dyDescent="0.3">
      <c r="A28">
        <v>27</v>
      </c>
      <c r="B28" s="1">
        <v>44990</v>
      </c>
      <c r="C28" t="s">
        <v>120</v>
      </c>
      <c r="D28">
        <v>24</v>
      </c>
      <c r="E28" t="s">
        <v>28</v>
      </c>
      <c r="F28" t="s">
        <v>63</v>
      </c>
      <c r="G28" t="s">
        <v>249</v>
      </c>
      <c r="H28" t="s">
        <v>98</v>
      </c>
      <c r="J28" t="b">
        <v>0</v>
      </c>
      <c r="K28" t="s">
        <v>81</v>
      </c>
      <c r="L28" t="s">
        <v>82</v>
      </c>
      <c r="M28">
        <v>12</v>
      </c>
      <c r="N28" t="s">
        <v>71</v>
      </c>
      <c r="O28" t="s">
        <v>46</v>
      </c>
      <c r="P28" t="s">
        <v>51</v>
      </c>
      <c r="Q28" t="s">
        <v>52</v>
      </c>
      <c r="R28">
        <v>0</v>
      </c>
      <c r="S28">
        <v>0</v>
      </c>
      <c r="T28" t="s">
        <v>66</v>
      </c>
      <c r="U28">
        <v>2</v>
      </c>
      <c r="V28">
        <v>2</v>
      </c>
      <c r="W28">
        <v>5</v>
      </c>
      <c r="X28">
        <v>52</v>
      </c>
      <c r="Y28" t="s">
        <v>143</v>
      </c>
      <c r="Z28" t="b">
        <v>0</v>
      </c>
      <c r="AA28" t="s">
        <v>39</v>
      </c>
      <c r="AB28" t="s">
        <v>115</v>
      </c>
      <c r="AC28" t="s">
        <v>41</v>
      </c>
      <c r="AD28" s="5" t="b">
        <v>1</v>
      </c>
      <c r="AE28" s="6" t="s">
        <v>226</v>
      </c>
    </row>
    <row r="29" spans="1:31" x14ac:dyDescent="0.3">
      <c r="A29">
        <v>28</v>
      </c>
      <c r="B29" s="1">
        <v>45004</v>
      </c>
      <c r="C29" t="s">
        <v>120</v>
      </c>
      <c r="D29">
        <v>26</v>
      </c>
      <c r="E29" t="s">
        <v>28</v>
      </c>
      <c r="F29" t="s">
        <v>39</v>
      </c>
      <c r="G29" t="s">
        <v>249</v>
      </c>
      <c r="H29" t="s">
        <v>43</v>
      </c>
      <c r="J29" t="b">
        <v>0</v>
      </c>
      <c r="K29" t="s">
        <v>31</v>
      </c>
      <c r="L29" t="s">
        <v>32</v>
      </c>
      <c r="M29">
        <v>81</v>
      </c>
      <c r="N29" t="s">
        <v>121</v>
      </c>
      <c r="O29" t="s">
        <v>34</v>
      </c>
      <c r="P29" s="3">
        <v>46023</v>
      </c>
      <c r="Q29" t="s">
        <v>52</v>
      </c>
      <c r="R29">
        <v>1</v>
      </c>
      <c r="S29">
        <v>2</v>
      </c>
      <c r="T29" t="s">
        <v>37</v>
      </c>
      <c r="U29">
        <v>1</v>
      </c>
      <c r="V29">
        <v>2</v>
      </c>
      <c r="W29">
        <v>1</v>
      </c>
      <c r="X29">
        <v>56</v>
      </c>
      <c r="Y29" t="s">
        <v>72</v>
      </c>
      <c r="Z29" t="b">
        <v>0</v>
      </c>
      <c r="AA29" t="s">
        <v>39</v>
      </c>
      <c r="AB29" t="s">
        <v>119</v>
      </c>
      <c r="AC29" t="s">
        <v>41</v>
      </c>
      <c r="AD29" s="5" t="b">
        <v>1</v>
      </c>
      <c r="AE29" s="6" t="s">
        <v>227</v>
      </c>
    </row>
    <row r="30" spans="1:31" x14ac:dyDescent="0.3">
      <c r="A30">
        <v>29</v>
      </c>
      <c r="B30" s="1">
        <v>45018</v>
      </c>
      <c r="C30" t="s">
        <v>120</v>
      </c>
      <c r="D30">
        <v>27</v>
      </c>
      <c r="E30" t="s">
        <v>28</v>
      </c>
      <c r="F30" t="s">
        <v>69</v>
      </c>
      <c r="G30" t="s">
        <v>249</v>
      </c>
      <c r="H30" t="s">
        <v>123</v>
      </c>
      <c r="J30" t="b">
        <v>1</v>
      </c>
      <c r="K30" t="s">
        <v>81</v>
      </c>
      <c r="L30" t="s">
        <v>82</v>
      </c>
      <c r="M30">
        <v>66</v>
      </c>
      <c r="N30" t="s">
        <v>144</v>
      </c>
      <c r="O30" t="s">
        <v>34</v>
      </c>
      <c r="P30" s="2">
        <v>36617</v>
      </c>
      <c r="Q30" t="s">
        <v>60</v>
      </c>
      <c r="R30">
        <v>6</v>
      </c>
      <c r="S30">
        <v>0</v>
      </c>
      <c r="T30" t="s">
        <v>53</v>
      </c>
      <c r="U30">
        <v>0</v>
      </c>
      <c r="V30">
        <v>2</v>
      </c>
      <c r="W30">
        <v>15</v>
      </c>
      <c r="X30">
        <v>56</v>
      </c>
      <c r="Y30" t="s">
        <v>145</v>
      </c>
      <c r="Z30" t="b">
        <v>0</v>
      </c>
      <c r="AA30" t="s">
        <v>39</v>
      </c>
      <c r="AB30" t="s">
        <v>146</v>
      </c>
      <c r="AC30" t="s">
        <v>41</v>
      </c>
      <c r="AD30" s="5" t="b">
        <v>1</v>
      </c>
      <c r="AE30" s="6" t="s">
        <v>228</v>
      </c>
    </row>
    <row r="31" spans="1:31" x14ac:dyDescent="0.3">
      <c r="A31">
        <v>30</v>
      </c>
      <c r="B31" s="1">
        <v>45157</v>
      </c>
      <c r="C31" t="s">
        <v>147</v>
      </c>
      <c r="D31">
        <v>2</v>
      </c>
      <c r="E31" t="s">
        <v>28</v>
      </c>
      <c r="F31" t="s">
        <v>148</v>
      </c>
      <c r="G31" t="s">
        <v>249</v>
      </c>
      <c r="H31" t="s">
        <v>149</v>
      </c>
      <c r="J31" t="b">
        <v>0</v>
      </c>
      <c r="K31" t="s">
        <v>105</v>
      </c>
      <c r="L31" t="s">
        <v>106</v>
      </c>
      <c r="M31">
        <v>50</v>
      </c>
      <c r="N31" t="s">
        <v>150</v>
      </c>
      <c r="O31" t="s">
        <v>46</v>
      </c>
      <c r="P31" s="3">
        <v>46023</v>
      </c>
      <c r="Q31" t="s">
        <v>52</v>
      </c>
      <c r="R31">
        <v>3</v>
      </c>
      <c r="S31">
        <v>1</v>
      </c>
      <c r="T31" t="s">
        <v>53</v>
      </c>
      <c r="U31">
        <v>0</v>
      </c>
      <c r="V31">
        <v>5</v>
      </c>
      <c r="W31">
        <v>19</v>
      </c>
      <c r="X31">
        <v>3</v>
      </c>
      <c r="Y31" t="s">
        <v>67</v>
      </c>
      <c r="Z31" t="b">
        <v>1</v>
      </c>
      <c r="AA31" t="s">
        <v>28</v>
      </c>
      <c r="AB31" t="s">
        <v>151</v>
      </c>
      <c r="AC31" t="s">
        <v>41</v>
      </c>
      <c r="AD31" s="5" t="b">
        <v>1</v>
      </c>
      <c r="AE31" s="6" t="s">
        <v>229</v>
      </c>
    </row>
    <row r="32" spans="1:31" x14ac:dyDescent="0.3">
      <c r="A32">
        <v>31</v>
      </c>
      <c r="B32" s="1">
        <v>45220</v>
      </c>
      <c r="C32" t="s">
        <v>147</v>
      </c>
      <c r="D32">
        <v>10</v>
      </c>
      <c r="E32" t="s">
        <v>28</v>
      </c>
      <c r="F32" t="s">
        <v>29</v>
      </c>
      <c r="G32" t="s">
        <v>249</v>
      </c>
      <c r="H32" t="s">
        <v>152</v>
      </c>
      <c r="J32" t="b">
        <v>0</v>
      </c>
      <c r="K32" t="s">
        <v>31</v>
      </c>
      <c r="L32" t="s">
        <v>32</v>
      </c>
      <c r="M32">
        <v>4</v>
      </c>
      <c r="N32" t="s">
        <v>153</v>
      </c>
      <c r="O32" t="s">
        <v>46</v>
      </c>
      <c r="P32" t="s">
        <v>51</v>
      </c>
      <c r="Q32" t="s">
        <v>52</v>
      </c>
      <c r="R32">
        <v>1</v>
      </c>
      <c r="S32">
        <v>1</v>
      </c>
      <c r="T32" t="s">
        <v>66</v>
      </c>
      <c r="U32">
        <v>2</v>
      </c>
      <c r="V32">
        <v>1</v>
      </c>
      <c r="W32">
        <v>14</v>
      </c>
      <c r="X32">
        <v>24</v>
      </c>
      <c r="Y32" t="s">
        <v>72</v>
      </c>
      <c r="Z32" t="b">
        <v>1</v>
      </c>
      <c r="AA32" t="s">
        <v>28</v>
      </c>
      <c r="AB32" t="s">
        <v>79</v>
      </c>
      <c r="AC32" t="s">
        <v>41</v>
      </c>
      <c r="AD32" s="5" t="b">
        <v>1</v>
      </c>
      <c r="AE32" s="6" t="s">
        <v>230</v>
      </c>
    </row>
    <row r="33" spans="1:31" x14ac:dyDescent="0.3">
      <c r="A33">
        <v>32</v>
      </c>
      <c r="B33" s="1">
        <v>45347</v>
      </c>
      <c r="C33" t="s">
        <v>147</v>
      </c>
      <c r="D33">
        <v>26</v>
      </c>
      <c r="E33" t="s">
        <v>28</v>
      </c>
      <c r="F33" t="s">
        <v>29</v>
      </c>
      <c r="G33" t="s">
        <v>249</v>
      </c>
      <c r="H33" t="s">
        <v>154</v>
      </c>
      <c r="J33" t="b">
        <v>1</v>
      </c>
      <c r="K33" t="s">
        <v>105</v>
      </c>
      <c r="L33" t="s">
        <v>106</v>
      </c>
      <c r="M33">
        <v>10</v>
      </c>
      <c r="N33" t="s">
        <v>155</v>
      </c>
      <c r="O33" t="s">
        <v>46</v>
      </c>
      <c r="P33" t="s">
        <v>51</v>
      </c>
      <c r="Q33" t="s">
        <v>52</v>
      </c>
      <c r="R33">
        <v>1</v>
      </c>
      <c r="S33">
        <v>0</v>
      </c>
      <c r="T33" t="s">
        <v>53</v>
      </c>
      <c r="U33">
        <v>0</v>
      </c>
      <c r="V33">
        <v>1</v>
      </c>
      <c r="W33">
        <v>15</v>
      </c>
      <c r="X33">
        <v>62</v>
      </c>
      <c r="Y33" t="s">
        <v>97</v>
      </c>
      <c r="Z33" t="b">
        <v>1</v>
      </c>
      <c r="AA33" t="s">
        <v>28</v>
      </c>
      <c r="AB33" t="s">
        <v>156</v>
      </c>
      <c r="AC33" t="s">
        <v>41</v>
      </c>
      <c r="AD33" s="5" t="b">
        <v>1</v>
      </c>
      <c r="AE33" s="6" t="s">
        <v>231</v>
      </c>
    </row>
    <row r="34" spans="1:31" x14ac:dyDescent="0.3">
      <c r="A34">
        <v>33</v>
      </c>
      <c r="B34" s="1">
        <v>45591</v>
      </c>
      <c r="C34" t="s">
        <v>157</v>
      </c>
      <c r="D34">
        <v>11</v>
      </c>
      <c r="E34" t="s">
        <v>28</v>
      </c>
      <c r="F34" t="s">
        <v>39</v>
      </c>
      <c r="G34" t="s">
        <v>249</v>
      </c>
      <c r="H34" t="s">
        <v>158</v>
      </c>
      <c r="J34" t="b">
        <v>1</v>
      </c>
      <c r="K34" t="s">
        <v>31</v>
      </c>
      <c r="L34" t="s">
        <v>32</v>
      </c>
      <c r="M34">
        <v>30</v>
      </c>
      <c r="N34" t="s">
        <v>159</v>
      </c>
      <c r="O34" t="s">
        <v>46</v>
      </c>
      <c r="P34" t="s">
        <v>51</v>
      </c>
      <c r="Q34" t="s">
        <v>52</v>
      </c>
      <c r="R34">
        <v>0</v>
      </c>
      <c r="S34">
        <v>4</v>
      </c>
      <c r="T34" t="s">
        <v>37</v>
      </c>
      <c r="U34">
        <v>0</v>
      </c>
      <c r="V34">
        <v>2</v>
      </c>
      <c r="W34">
        <v>1</v>
      </c>
      <c r="X34">
        <v>24</v>
      </c>
      <c r="Y34" t="s">
        <v>67</v>
      </c>
      <c r="Z34" t="b">
        <v>0</v>
      </c>
      <c r="AA34" t="s">
        <v>39</v>
      </c>
      <c r="AB34" t="s">
        <v>119</v>
      </c>
      <c r="AC34" t="s">
        <v>41</v>
      </c>
      <c r="AD34" s="5" t="b">
        <v>1</v>
      </c>
      <c r="AE34" s="6" t="s">
        <v>232</v>
      </c>
    </row>
    <row r="35" spans="1:31" x14ac:dyDescent="0.3">
      <c r="A35">
        <v>34</v>
      </c>
      <c r="B35" s="1">
        <v>45630</v>
      </c>
      <c r="C35" t="s">
        <v>157</v>
      </c>
      <c r="D35">
        <v>19</v>
      </c>
      <c r="E35" t="s">
        <v>28</v>
      </c>
      <c r="F35" t="s">
        <v>160</v>
      </c>
      <c r="G35" t="s">
        <v>249</v>
      </c>
      <c r="H35" t="s">
        <v>158</v>
      </c>
      <c r="J35" t="b">
        <v>0</v>
      </c>
      <c r="K35" t="s">
        <v>31</v>
      </c>
      <c r="L35" t="s">
        <v>32</v>
      </c>
      <c r="M35">
        <v>14</v>
      </c>
      <c r="N35" t="s">
        <v>161</v>
      </c>
      <c r="O35" t="s">
        <v>46</v>
      </c>
      <c r="P35" t="s">
        <v>51</v>
      </c>
      <c r="Q35" t="s">
        <v>52</v>
      </c>
      <c r="R35">
        <v>1</v>
      </c>
      <c r="S35">
        <v>2</v>
      </c>
      <c r="T35" t="s">
        <v>37</v>
      </c>
      <c r="U35">
        <v>1</v>
      </c>
      <c r="V35">
        <v>2</v>
      </c>
      <c r="W35">
        <v>4</v>
      </c>
      <c r="X35">
        <v>33</v>
      </c>
      <c r="Y35" t="s">
        <v>67</v>
      </c>
      <c r="Z35" t="b">
        <v>0</v>
      </c>
      <c r="AA35" t="s">
        <v>39</v>
      </c>
      <c r="AB35" t="s">
        <v>94</v>
      </c>
      <c r="AC35" t="s">
        <v>41</v>
      </c>
      <c r="AD35" s="5" t="b">
        <v>1</v>
      </c>
      <c r="AE35" s="6" t="s">
        <v>233</v>
      </c>
    </row>
    <row r="36" spans="1:31" x14ac:dyDescent="0.3">
      <c r="A36">
        <v>35</v>
      </c>
      <c r="B36" s="1">
        <v>45660</v>
      </c>
      <c r="C36" t="s">
        <v>157</v>
      </c>
      <c r="D36">
        <v>12</v>
      </c>
      <c r="E36" t="s">
        <v>28</v>
      </c>
      <c r="F36" t="s">
        <v>91</v>
      </c>
      <c r="G36" t="s">
        <v>249</v>
      </c>
      <c r="H36" t="s">
        <v>158</v>
      </c>
      <c r="J36" t="b">
        <v>0</v>
      </c>
      <c r="K36" t="s">
        <v>31</v>
      </c>
      <c r="L36" t="s">
        <v>32</v>
      </c>
      <c r="M36">
        <v>60</v>
      </c>
      <c r="N36" t="s">
        <v>162</v>
      </c>
      <c r="O36" t="s">
        <v>34</v>
      </c>
      <c r="P36" t="s">
        <v>76</v>
      </c>
      <c r="Q36" t="s">
        <v>77</v>
      </c>
      <c r="R36">
        <v>2</v>
      </c>
      <c r="S36">
        <v>1</v>
      </c>
      <c r="T36" t="s">
        <v>53</v>
      </c>
      <c r="U36">
        <v>0</v>
      </c>
      <c r="V36">
        <v>2</v>
      </c>
      <c r="W36">
        <v>19</v>
      </c>
      <c r="X36">
        <v>40</v>
      </c>
      <c r="Y36" t="s">
        <v>143</v>
      </c>
      <c r="Z36" t="b">
        <v>0</v>
      </c>
      <c r="AA36" t="s">
        <v>39</v>
      </c>
      <c r="AB36" t="s">
        <v>79</v>
      </c>
      <c r="AC36" t="s">
        <v>41</v>
      </c>
      <c r="AD36" s="7" t="b">
        <v>1</v>
      </c>
      <c r="AE36" s="9" t="s">
        <v>234</v>
      </c>
    </row>
    <row r="37" spans="1:31" x14ac:dyDescent="0.3">
      <c r="A37">
        <v>36</v>
      </c>
      <c r="B37" s="1">
        <v>45676</v>
      </c>
      <c r="C37" t="s">
        <v>157</v>
      </c>
      <c r="D37">
        <v>20</v>
      </c>
      <c r="E37" t="s">
        <v>28</v>
      </c>
      <c r="F37" t="s">
        <v>163</v>
      </c>
      <c r="G37" t="s">
        <v>249</v>
      </c>
      <c r="H37" t="s">
        <v>158</v>
      </c>
      <c r="J37" t="b">
        <v>1</v>
      </c>
      <c r="K37" t="s">
        <v>31</v>
      </c>
      <c r="L37" t="s">
        <v>32</v>
      </c>
      <c r="M37">
        <v>42</v>
      </c>
      <c r="N37" t="s">
        <v>164</v>
      </c>
      <c r="O37" t="s">
        <v>46</v>
      </c>
      <c r="P37" s="3">
        <v>46082</v>
      </c>
      <c r="Q37" t="s">
        <v>60</v>
      </c>
      <c r="R37">
        <v>4</v>
      </c>
      <c r="S37">
        <v>1</v>
      </c>
      <c r="T37" t="s">
        <v>53</v>
      </c>
      <c r="U37">
        <v>0</v>
      </c>
      <c r="V37">
        <v>2</v>
      </c>
      <c r="W37">
        <v>14</v>
      </c>
      <c r="X37">
        <v>43</v>
      </c>
      <c r="Y37" t="s">
        <v>165</v>
      </c>
      <c r="Z37" t="b">
        <v>0</v>
      </c>
      <c r="AA37" t="s">
        <v>39</v>
      </c>
      <c r="AB37" t="s">
        <v>125</v>
      </c>
      <c r="AC37" t="s">
        <v>41</v>
      </c>
      <c r="AD37" s="5" t="b">
        <v>1</v>
      </c>
      <c r="AE37" s="6" t="s">
        <v>235</v>
      </c>
    </row>
    <row r="38" spans="1:31" x14ac:dyDescent="0.3">
      <c r="A38">
        <v>37</v>
      </c>
      <c r="B38" s="1">
        <v>45676</v>
      </c>
      <c r="C38" t="s">
        <v>157</v>
      </c>
      <c r="D38">
        <v>20</v>
      </c>
      <c r="E38" t="s">
        <v>28</v>
      </c>
      <c r="F38" t="s">
        <v>163</v>
      </c>
      <c r="G38" t="s">
        <v>249</v>
      </c>
      <c r="H38" t="s">
        <v>166</v>
      </c>
      <c r="I38" t="s">
        <v>138</v>
      </c>
      <c r="J38" t="b">
        <v>1</v>
      </c>
      <c r="K38" t="s">
        <v>31</v>
      </c>
      <c r="L38" t="s">
        <v>100</v>
      </c>
      <c r="M38">
        <v>73</v>
      </c>
      <c r="N38" t="s">
        <v>167</v>
      </c>
      <c r="O38" t="s">
        <v>34</v>
      </c>
      <c r="P38" s="3">
        <v>46113</v>
      </c>
      <c r="Q38" t="s">
        <v>60</v>
      </c>
      <c r="R38">
        <v>4</v>
      </c>
      <c r="S38">
        <v>1</v>
      </c>
      <c r="T38" t="s">
        <v>53</v>
      </c>
      <c r="U38">
        <v>0</v>
      </c>
      <c r="V38">
        <v>2</v>
      </c>
      <c r="W38">
        <v>14</v>
      </c>
      <c r="X38">
        <v>43</v>
      </c>
      <c r="Y38" t="s">
        <v>165</v>
      </c>
      <c r="Z38" t="b">
        <v>0</v>
      </c>
      <c r="AA38" t="s">
        <v>39</v>
      </c>
      <c r="AB38" t="s">
        <v>94</v>
      </c>
      <c r="AC38" t="s">
        <v>41</v>
      </c>
      <c r="AD38" s="5" t="b">
        <v>1</v>
      </c>
      <c r="AE38" s="6" t="s">
        <v>235</v>
      </c>
    </row>
    <row r="39" spans="1:31" x14ac:dyDescent="0.3">
      <c r="A39">
        <v>38</v>
      </c>
      <c r="B39" s="1">
        <v>45676</v>
      </c>
      <c r="C39" t="s">
        <v>157</v>
      </c>
      <c r="D39">
        <v>20</v>
      </c>
      <c r="E39" t="s">
        <v>28</v>
      </c>
      <c r="F39" t="s">
        <v>163</v>
      </c>
      <c r="G39" t="s">
        <v>249</v>
      </c>
      <c r="H39" t="s">
        <v>152</v>
      </c>
      <c r="I39" t="s">
        <v>168</v>
      </c>
      <c r="J39" t="b">
        <v>1</v>
      </c>
      <c r="K39" t="s">
        <v>31</v>
      </c>
      <c r="L39" t="s">
        <v>100</v>
      </c>
      <c r="M39">
        <v>86</v>
      </c>
      <c r="N39" t="s">
        <v>169</v>
      </c>
      <c r="O39" t="s">
        <v>34</v>
      </c>
      <c r="P39" s="3">
        <v>46113</v>
      </c>
      <c r="Q39" t="s">
        <v>60</v>
      </c>
      <c r="R39">
        <v>4</v>
      </c>
      <c r="S39">
        <v>1</v>
      </c>
      <c r="T39" t="s">
        <v>53</v>
      </c>
      <c r="U39">
        <v>0</v>
      </c>
      <c r="V39">
        <v>2</v>
      </c>
      <c r="W39">
        <v>14</v>
      </c>
      <c r="X39">
        <v>43</v>
      </c>
      <c r="Y39" t="s">
        <v>165</v>
      </c>
      <c r="Z39" t="b">
        <v>0</v>
      </c>
      <c r="AA39" t="s">
        <v>39</v>
      </c>
      <c r="AB39" t="s">
        <v>79</v>
      </c>
      <c r="AC39" t="s">
        <v>41</v>
      </c>
      <c r="AD39" s="5" t="b">
        <v>1</v>
      </c>
      <c r="AE39" s="6" t="s">
        <v>235</v>
      </c>
    </row>
    <row r="40" spans="1:31" x14ac:dyDescent="0.3">
      <c r="A40">
        <v>39</v>
      </c>
      <c r="B40" s="1">
        <v>45752</v>
      </c>
      <c r="C40" t="s">
        <v>157</v>
      </c>
      <c r="D40">
        <v>30</v>
      </c>
      <c r="E40" t="s">
        <v>28</v>
      </c>
      <c r="F40" t="s">
        <v>91</v>
      </c>
      <c r="G40" t="s">
        <v>249</v>
      </c>
      <c r="H40" t="s">
        <v>170</v>
      </c>
      <c r="I40" t="s">
        <v>158</v>
      </c>
      <c r="J40" t="b">
        <v>1</v>
      </c>
      <c r="K40" t="s">
        <v>31</v>
      </c>
      <c r="L40" t="s">
        <v>100</v>
      </c>
      <c r="M40">
        <v>21</v>
      </c>
      <c r="N40" t="s">
        <v>171</v>
      </c>
      <c r="O40" t="s">
        <v>46</v>
      </c>
      <c r="P40" t="s">
        <v>76</v>
      </c>
      <c r="Q40" t="s">
        <v>77</v>
      </c>
      <c r="R40">
        <v>1</v>
      </c>
      <c r="S40">
        <v>2</v>
      </c>
      <c r="T40" t="s">
        <v>37</v>
      </c>
      <c r="U40">
        <v>1</v>
      </c>
      <c r="V40">
        <v>2</v>
      </c>
      <c r="W40">
        <v>16</v>
      </c>
      <c r="X40">
        <v>63</v>
      </c>
      <c r="Y40" t="s">
        <v>48</v>
      </c>
      <c r="Z40" t="b">
        <v>0</v>
      </c>
      <c r="AA40" t="s">
        <v>39</v>
      </c>
      <c r="AB40" t="s">
        <v>125</v>
      </c>
      <c r="AC40" t="s">
        <v>41</v>
      </c>
      <c r="AD40" s="5" t="b">
        <v>1</v>
      </c>
      <c r="AE40" s="6" t="s">
        <v>236</v>
      </c>
    </row>
    <row r="41" spans="1:31" x14ac:dyDescent="0.3">
      <c r="A41">
        <v>40</v>
      </c>
      <c r="B41" s="1">
        <v>45760</v>
      </c>
      <c r="C41" t="s">
        <v>157</v>
      </c>
      <c r="D41">
        <v>31</v>
      </c>
      <c r="E41" t="s">
        <v>28</v>
      </c>
      <c r="F41" t="s">
        <v>172</v>
      </c>
      <c r="G41" t="s">
        <v>249</v>
      </c>
      <c r="H41" t="s">
        <v>173</v>
      </c>
      <c r="J41" t="b">
        <v>0</v>
      </c>
      <c r="K41" t="s">
        <v>105</v>
      </c>
      <c r="L41" t="s">
        <v>106</v>
      </c>
      <c r="M41">
        <v>19</v>
      </c>
      <c r="N41" t="s">
        <v>174</v>
      </c>
      <c r="O41" t="s">
        <v>46</v>
      </c>
      <c r="P41" t="s">
        <v>51</v>
      </c>
      <c r="Q41" t="s">
        <v>52</v>
      </c>
      <c r="R41">
        <v>1</v>
      </c>
      <c r="S41">
        <v>0</v>
      </c>
      <c r="T41" t="s">
        <v>53</v>
      </c>
      <c r="U41">
        <v>0</v>
      </c>
      <c r="V41">
        <v>2</v>
      </c>
      <c r="W41">
        <v>17</v>
      </c>
      <c r="X41">
        <v>63</v>
      </c>
      <c r="Y41" t="s">
        <v>143</v>
      </c>
      <c r="Z41" t="b">
        <v>0</v>
      </c>
      <c r="AA41" t="s">
        <v>39</v>
      </c>
      <c r="AB41" t="s">
        <v>140</v>
      </c>
      <c r="AC41" t="s">
        <v>41</v>
      </c>
      <c r="AD41" s="5" t="b">
        <v>1</v>
      </c>
      <c r="AE41" s="6" t="s">
        <v>237</v>
      </c>
    </row>
    <row r="42" spans="1:31" x14ac:dyDescent="0.3">
      <c r="A42">
        <v>41</v>
      </c>
      <c r="B42" s="1">
        <v>45767</v>
      </c>
      <c r="C42" t="s">
        <v>157</v>
      </c>
      <c r="D42">
        <v>32</v>
      </c>
      <c r="E42" t="s">
        <v>28</v>
      </c>
      <c r="F42" t="s">
        <v>160</v>
      </c>
      <c r="G42" t="s">
        <v>249</v>
      </c>
      <c r="H42" t="s">
        <v>113</v>
      </c>
      <c r="I42" t="s">
        <v>175</v>
      </c>
      <c r="J42" t="b">
        <v>1</v>
      </c>
      <c r="K42" t="s">
        <v>31</v>
      </c>
      <c r="L42" t="s">
        <v>100</v>
      </c>
      <c r="M42">
        <v>79</v>
      </c>
      <c r="N42" t="s">
        <v>176</v>
      </c>
      <c r="O42" t="s">
        <v>34</v>
      </c>
      <c r="P42" t="s">
        <v>51</v>
      </c>
      <c r="Q42" t="s">
        <v>52</v>
      </c>
      <c r="R42">
        <v>1</v>
      </c>
      <c r="S42">
        <v>0</v>
      </c>
      <c r="T42" t="s">
        <v>53</v>
      </c>
      <c r="U42">
        <v>0</v>
      </c>
      <c r="V42">
        <v>2</v>
      </c>
      <c r="W42">
        <v>4</v>
      </c>
      <c r="X42">
        <v>66</v>
      </c>
      <c r="Y42" t="s">
        <v>54</v>
      </c>
      <c r="Z42" t="b">
        <v>0</v>
      </c>
      <c r="AA42" t="s">
        <v>39</v>
      </c>
      <c r="AB42" t="s">
        <v>177</v>
      </c>
      <c r="AC42" t="s">
        <v>41</v>
      </c>
      <c r="AD42" s="5" t="b">
        <v>1</v>
      </c>
      <c r="AE42" s="6" t="s">
        <v>238</v>
      </c>
    </row>
    <row r="43" spans="1:31" x14ac:dyDescent="0.3">
      <c r="A43">
        <v>42</v>
      </c>
      <c r="B43" s="1">
        <v>45899</v>
      </c>
      <c r="C43" t="s">
        <v>178</v>
      </c>
      <c r="D43">
        <v>3</v>
      </c>
      <c r="E43" t="s">
        <v>28</v>
      </c>
      <c r="F43" t="s">
        <v>104</v>
      </c>
      <c r="G43" t="s">
        <v>250</v>
      </c>
      <c r="H43" t="s">
        <v>179</v>
      </c>
      <c r="J43" t="b">
        <v>1</v>
      </c>
      <c r="K43" t="s">
        <v>81</v>
      </c>
      <c r="L43" t="s">
        <v>82</v>
      </c>
      <c r="M43">
        <v>55</v>
      </c>
      <c r="N43" t="s">
        <v>180</v>
      </c>
      <c r="O43" t="s">
        <v>34</v>
      </c>
      <c r="P43" s="3">
        <v>46054</v>
      </c>
      <c r="Q43" t="s">
        <v>60</v>
      </c>
      <c r="R43">
        <v>2</v>
      </c>
      <c r="S43">
        <v>1</v>
      </c>
      <c r="T43" t="s">
        <v>53</v>
      </c>
      <c r="U43">
        <v>0</v>
      </c>
      <c r="V43">
        <v>3</v>
      </c>
      <c r="W43">
        <v>18</v>
      </c>
      <c r="X43">
        <v>6</v>
      </c>
      <c r="Y43" t="s">
        <v>67</v>
      </c>
      <c r="Z43" t="b">
        <v>0</v>
      </c>
      <c r="AA43" t="s">
        <v>39</v>
      </c>
      <c r="AB43" t="s">
        <v>181</v>
      </c>
      <c r="AC43" t="s">
        <v>41</v>
      </c>
      <c r="AD43" s="5" t="b">
        <v>1</v>
      </c>
      <c r="AE43" s="6" t="s">
        <v>200</v>
      </c>
    </row>
    <row r="44" spans="1:31" x14ac:dyDescent="0.3">
      <c r="A44">
        <v>43</v>
      </c>
      <c r="B44" s="1">
        <v>45899</v>
      </c>
      <c r="C44" t="s">
        <v>178</v>
      </c>
      <c r="D44">
        <v>3</v>
      </c>
      <c r="E44" t="s">
        <v>28</v>
      </c>
      <c r="F44" t="s">
        <v>104</v>
      </c>
      <c r="G44" t="s">
        <v>250</v>
      </c>
      <c r="H44" t="s">
        <v>158</v>
      </c>
      <c r="J44" t="b">
        <v>1</v>
      </c>
      <c r="K44" t="s">
        <v>31</v>
      </c>
      <c r="L44" t="s">
        <v>32</v>
      </c>
      <c r="M44">
        <v>46</v>
      </c>
      <c r="N44" t="s">
        <v>182</v>
      </c>
      <c r="O44" t="s">
        <v>46</v>
      </c>
      <c r="P44" s="3">
        <v>46054</v>
      </c>
      <c r="Q44" t="s">
        <v>60</v>
      </c>
      <c r="R44">
        <v>2</v>
      </c>
      <c r="S44">
        <v>1</v>
      </c>
      <c r="T44" t="s">
        <v>53</v>
      </c>
      <c r="U44">
        <v>0</v>
      </c>
      <c r="V44">
        <v>3</v>
      </c>
      <c r="W44">
        <v>18</v>
      </c>
      <c r="X44">
        <v>6</v>
      </c>
      <c r="Y44" t="s">
        <v>67</v>
      </c>
      <c r="Z44" t="b">
        <v>0</v>
      </c>
      <c r="AA44" t="s">
        <v>39</v>
      </c>
      <c r="AB44" t="s">
        <v>94</v>
      </c>
      <c r="AC44" t="s">
        <v>41</v>
      </c>
      <c r="AD44" s="5" t="b">
        <v>1</v>
      </c>
      <c r="AE44" s="6" t="s">
        <v>200</v>
      </c>
    </row>
    <row r="45" spans="1:31" x14ac:dyDescent="0.3">
      <c r="A45">
        <v>44</v>
      </c>
      <c r="B45" s="1">
        <v>45899</v>
      </c>
      <c r="C45" t="s">
        <v>178</v>
      </c>
      <c r="D45">
        <v>3</v>
      </c>
      <c r="E45" t="s">
        <v>28</v>
      </c>
      <c r="F45" t="s">
        <v>104</v>
      </c>
      <c r="G45" t="s">
        <v>250</v>
      </c>
      <c r="H45" t="s">
        <v>158</v>
      </c>
      <c r="J45" t="b">
        <v>1</v>
      </c>
      <c r="K45" t="s">
        <v>31</v>
      </c>
      <c r="L45" t="s">
        <v>32</v>
      </c>
      <c r="M45">
        <v>7</v>
      </c>
      <c r="N45" t="s">
        <v>183</v>
      </c>
      <c r="O45" t="s">
        <v>46</v>
      </c>
      <c r="P45" t="s">
        <v>51</v>
      </c>
      <c r="Q45" t="s">
        <v>52</v>
      </c>
      <c r="R45">
        <v>2</v>
      </c>
      <c r="S45">
        <v>1</v>
      </c>
      <c r="T45" t="s">
        <v>53</v>
      </c>
      <c r="U45">
        <v>0</v>
      </c>
      <c r="V45">
        <v>3</v>
      </c>
      <c r="W45">
        <v>18</v>
      </c>
      <c r="X45">
        <v>6</v>
      </c>
      <c r="Y45" t="s">
        <v>67</v>
      </c>
      <c r="Z45" t="b">
        <v>0</v>
      </c>
      <c r="AA45" t="s">
        <v>39</v>
      </c>
      <c r="AB45" t="s">
        <v>125</v>
      </c>
      <c r="AC45" t="s">
        <v>41</v>
      </c>
      <c r="AD45" s="5" t="b">
        <v>1</v>
      </c>
      <c r="AE45" s="6" t="s">
        <v>200</v>
      </c>
    </row>
    <row r="46" spans="1:31" x14ac:dyDescent="0.3">
      <c r="A46">
        <v>45</v>
      </c>
      <c r="B46" s="1">
        <v>45913</v>
      </c>
      <c r="C46" t="s">
        <v>178</v>
      </c>
      <c r="D46">
        <v>4</v>
      </c>
      <c r="E46" t="s">
        <v>28</v>
      </c>
      <c r="F46" t="s">
        <v>111</v>
      </c>
      <c r="G46" t="s">
        <v>250</v>
      </c>
      <c r="H46" t="s">
        <v>179</v>
      </c>
      <c r="I46" t="s">
        <v>158</v>
      </c>
      <c r="J46" t="b">
        <v>0</v>
      </c>
      <c r="K46" t="s">
        <v>31</v>
      </c>
      <c r="L46" t="s">
        <v>100</v>
      </c>
      <c r="M46">
        <v>2</v>
      </c>
      <c r="N46" t="s">
        <v>184</v>
      </c>
      <c r="O46" t="s">
        <v>46</v>
      </c>
      <c r="P46" t="s">
        <v>51</v>
      </c>
      <c r="Q46" t="s">
        <v>52</v>
      </c>
      <c r="R46">
        <v>2</v>
      </c>
      <c r="S46">
        <v>1</v>
      </c>
      <c r="T46" t="s">
        <v>53</v>
      </c>
      <c r="U46">
        <v>0</v>
      </c>
      <c r="V46">
        <v>1</v>
      </c>
      <c r="W46">
        <v>17</v>
      </c>
      <c r="X46">
        <v>9</v>
      </c>
      <c r="Y46" t="s">
        <v>112</v>
      </c>
      <c r="Z46" t="b">
        <v>0</v>
      </c>
      <c r="AA46" t="s">
        <v>39</v>
      </c>
      <c r="AB46" t="s">
        <v>79</v>
      </c>
      <c r="AC46" t="s">
        <v>41</v>
      </c>
      <c r="AD46" s="5" t="b">
        <v>1</v>
      </c>
      <c r="AE46" s="6" t="s">
        <v>239</v>
      </c>
    </row>
    <row r="47" spans="1:31" x14ac:dyDescent="0.3">
      <c r="A47">
        <v>46</v>
      </c>
      <c r="B47" s="1">
        <v>45956</v>
      </c>
      <c r="C47" t="s">
        <v>178</v>
      </c>
      <c r="D47">
        <v>10</v>
      </c>
      <c r="E47" t="s">
        <v>28</v>
      </c>
      <c r="F47" t="s">
        <v>39</v>
      </c>
      <c r="G47" t="s">
        <v>250</v>
      </c>
      <c r="H47" t="s">
        <v>158</v>
      </c>
      <c r="J47" t="b">
        <v>1</v>
      </c>
      <c r="K47" t="s">
        <v>31</v>
      </c>
      <c r="L47" t="s">
        <v>32</v>
      </c>
      <c r="M47">
        <v>12</v>
      </c>
      <c r="N47" t="s">
        <v>71</v>
      </c>
      <c r="O47" t="s">
        <v>46</v>
      </c>
      <c r="P47" t="s">
        <v>51</v>
      </c>
      <c r="Q47" t="s">
        <v>52</v>
      </c>
      <c r="R47">
        <v>2</v>
      </c>
      <c r="S47">
        <v>1</v>
      </c>
      <c r="T47" t="s">
        <v>53</v>
      </c>
      <c r="U47">
        <v>0</v>
      </c>
      <c r="V47">
        <v>1</v>
      </c>
      <c r="W47">
        <v>2</v>
      </c>
      <c r="X47">
        <v>24</v>
      </c>
      <c r="Y47" t="s">
        <v>143</v>
      </c>
      <c r="Z47" t="b">
        <v>0</v>
      </c>
      <c r="AA47" t="s">
        <v>39</v>
      </c>
      <c r="AB47" t="s">
        <v>125</v>
      </c>
      <c r="AC47" t="s">
        <v>41</v>
      </c>
      <c r="AD47" s="5" t="b">
        <v>1</v>
      </c>
      <c r="AE47" s="6" t="s">
        <v>240</v>
      </c>
    </row>
    <row r="48" spans="1:31" x14ac:dyDescent="0.3">
      <c r="A48">
        <v>47</v>
      </c>
      <c r="B48" s="1">
        <v>45991</v>
      </c>
      <c r="C48" t="s">
        <v>178</v>
      </c>
      <c r="D48">
        <v>14</v>
      </c>
      <c r="E48" t="s">
        <v>28</v>
      </c>
      <c r="F48" t="s">
        <v>133</v>
      </c>
      <c r="G48" t="s">
        <v>250</v>
      </c>
      <c r="H48" t="s">
        <v>158</v>
      </c>
      <c r="J48" t="b">
        <v>0</v>
      </c>
      <c r="K48" t="s">
        <v>81</v>
      </c>
      <c r="L48" t="s">
        <v>82</v>
      </c>
      <c r="M48">
        <v>40</v>
      </c>
      <c r="N48" t="s">
        <v>185</v>
      </c>
      <c r="O48" t="s">
        <v>46</v>
      </c>
      <c r="P48" t="s">
        <v>51</v>
      </c>
      <c r="Q48" t="s">
        <v>52</v>
      </c>
      <c r="R48">
        <v>1</v>
      </c>
      <c r="S48">
        <v>1</v>
      </c>
      <c r="T48" t="s">
        <v>66</v>
      </c>
      <c r="U48">
        <v>2</v>
      </c>
      <c r="V48">
        <v>3</v>
      </c>
      <c r="W48">
        <v>18</v>
      </c>
      <c r="X48">
        <v>32</v>
      </c>
      <c r="Y48" t="s">
        <v>72</v>
      </c>
      <c r="Z48" t="b">
        <v>0</v>
      </c>
      <c r="AA48" t="s">
        <v>39</v>
      </c>
      <c r="AB48" t="s">
        <v>186</v>
      </c>
      <c r="AC48" t="s">
        <v>41</v>
      </c>
      <c r="AD48" s="5" t="b">
        <v>1</v>
      </c>
      <c r="AE48" s="6" t="s">
        <v>241</v>
      </c>
    </row>
    <row r="49" spans="1:31" x14ac:dyDescent="0.3">
      <c r="A49">
        <v>48</v>
      </c>
      <c r="B49" s="1">
        <v>46260</v>
      </c>
      <c r="C49" t="s">
        <v>187</v>
      </c>
      <c r="D49">
        <v>1</v>
      </c>
      <c r="E49" t="s">
        <v>28</v>
      </c>
      <c r="F49" t="s">
        <v>111</v>
      </c>
      <c r="G49" t="s">
        <v>251</v>
      </c>
      <c r="H49" t="s">
        <v>188</v>
      </c>
      <c r="I49" t="s">
        <v>189</v>
      </c>
      <c r="J49" t="b">
        <v>1</v>
      </c>
      <c r="K49" t="s">
        <v>31</v>
      </c>
      <c r="L49" t="s">
        <v>100</v>
      </c>
      <c r="M49">
        <v>90</v>
      </c>
      <c r="N49" t="s">
        <v>135</v>
      </c>
      <c r="O49" t="s">
        <v>34</v>
      </c>
      <c r="P49" s="3">
        <v>46113</v>
      </c>
      <c r="Q49" t="s">
        <v>60</v>
      </c>
      <c r="R49">
        <v>4</v>
      </c>
      <c r="S49">
        <v>1</v>
      </c>
      <c r="T49" t="s">
        <v>53</v>
      </c>
      <c r="U49">
        <v>0</v>
      </c>
      <c r="V49">
        <v>7</v>
      </c>
      <c r="W49">
        <v>19</v>
      </c>
      <c r="X49">
        <v>3</v>
      </c>
      <c r="Y49" t="s">
        <v>190</v>
      </c>
      <c r="Z49" t="b">
        <v>0</v>
      </c>
      <c r="AA49" t="s">
        <v>191</v>
      </c>
      <c r="AB49" t="s">
        <v>125</v>
      </c>
      <c r="AC49" t="s">
        <v>41</v>
      </c>
      <c r="AD49" s="5" t="b">
        <v>1</v>
      </c>
      <c r="AE49" s="6" t="s">
        <v>242</v>
      </c>
    </row>
    <row r="50" spans="1:31" x14ac:dyDescent="0.3">
      <c r="A50">
        <v>49</v>
      </c>
      <c r="B50" s="1">
        <v>46269</v>
      </c>
      <c r="C50" t="s">
        <v>187</v>
      </c>
      <c r="D50">
        <v>4</v>
      </c>
      <c r="E50" t="s">
        <v>28</v>
      </c>
      <c r="F50" t="s">
        <v>63</v>
      </c>
      <c r="G50" t="s">
        <v>251</v>
      </c>
      <c r="H50" t="s">
        <v>189</v>
      </c>
      <c r="J50" t="b">
        <v>0</v>
      </c>
      <c r="K50" t="s">
        <v>31</v>
      </c>
      <c r="L50" t="s">
        <v>32</v>
      </c>
      <c r="M50">
        <v>87</v>
      </c>
      <c r="N50" t="s">
        <v>192</v>
      </c>
      <c r="O50" t="s">
        <v>34</v>
      </c>
      <c r="P50" t="s">
        <v>76</v>
      </c>
      <c r="Q50" t="s">
        <v>77</v>
      </c>
      <c r="R50">
        <v>0</v>
      </c>
      <c r="S50">
        <v>1</v>
      </c>
      <c r="T50" t="s">
        <v>37</v>
      </c>
      <c r="U50">
        <v>1</v>
      </c>
      <c r="V50">
        <v>2</v>
      </c>
      <c r="W50">
        <v>7</v>
      </c>
      <c r="X50">
        <v>9</v>
      </c>
      <c r="Y50" t="s">
        <v>38</v>
      </c>
      <c r="Z50" t="b">
        <v>0</v>
      </c>
      <c r="AA50" t="s">
        <v>191</v>
      </c>
      <c r="AB50" t="s">
        <v>102</v>
      </c>
      <c r="AC50" t="s">
        <v>41</v>
      </c>
      <c r="AD50" s="5" t="b">
        <v>1</v>
      </c>
      <c r="AE50" s="6" t="s">
        <v>243</v>
      </c>
    </row>
    <row r="51" spans="1:31" x14ac:dyDescent="0.3">
      <c r="A51">
        <v>50</v>
      </c>
      <c r="B51" s="1">
        <v>46305</v>
      </c>
      <c r="C51" t="s">
        <v>187</v>
      </c>
      <c r="D51">
        <v>8</v>
      </c>
      <c r="E51" t="s">
        <v>28</v>
      </c>
      <c r="F51" t="s">
        <v>80</v>
      </c>
      <c r="G51" t="s">
        <v>251</v>
      </c>
      <c r="H51" t="s">
        <v>113</v>
      </c>
      <c r="J51" t="b">
        <v>1</v>
      </c>
      <c r="K51" t="s">
        <v>105</v>
      </c>
      <c r="L51" t="s">
        <v>106</v>
      </c>
      <c r="M51">
        <v>71</v>
      </c>
      <c r="N51" t="s">
        <v>193</v>
      </c>
      <c r="O51" t="s">
        <v>34</v>
      </c>
      <c r="P51" s="2">
        <v>36526</v>
      </c>
      <c r="Q51" t="s">
        <v>60</v>
      </c>
      <c r="R51">
        <v>1</v>
      </c>
      <c r="S51">
        <v>0</v>
      </c>
      <c r="T51" t="s">
        <v>53</v>
      </c>
      <c r="U51">
        <v>0</v>
      </c>
      <c r="V51">
        <v>4</v>
      </c>
      <c r="W51">
        <v>11</v>
      </c>
      <c r="X51">
        <v>15</v>
      </c>
      <c r="Y51" t="s">
        <v>97</v>
      </c>
      <c r="Z51" t="b">
        <v>0</v>
      </c>
      <c r="AA51" t="s">
        <v>191</v>
      </c>
      <c r="AB51" t="s">
        <v>194</v>
      </c>
      <c r="AC51" t="s">
        <v>41</v>
      </c>
      <c r="AD51" s="5" t="b">
        <v>1</v>
      </c>
      <c r="AE51" s="6" t="s">
        <v>244</v>
      </c>
    </row>
  </sheetData>
  <autoFilter ref="A1:AE51" xr:uid="{00000000-0009-0000-0000-000003000000}"/>
  <hyperlinks>
    <hyperlink ref="AE2" r:id="rId1" xr:uid="{00000000-0004-0000-0300-000000000000}"/>
    <hyperlink ref="AE3" r:id="rId2" xr:uid="{00000000-0004-0000-0300-000001000000}"/>
    <hyperlink ref="AE4" r:id="rId3" xr:uid="{00000000-0004-0000-0300-000002000000}"/>
    <hyperlink ref="AE5" r:id="rId4" xr:uid="{00000000-0004-0000-0300-000003000000}"/>
    <hyperlink ref="AE6" r:id="rId5" xr:uid="{00000000-0004-0000-0300-000004000000}"/>
    <hyperlink ref="AE7" r:id="rId6" xr:uid="{00000000-0004-0000-0300-000005000000}"/>
    <hyperlink ref="AE8" r:id="rId7" xr:uid="{00000000-0004-0000-0300-000006000000}"/>
    <hyperlink ref="AE9" r:id="rId8" xr:uid="{00000000-0004-0000-0300-000007000000}"/>
    <hyperlink ref="AE10" r:id="rId9" xr:uid="{00000000-0004-0000-0300-000008000000}"/>
    <hyperlink ref="AE12" r:id="rId10" xr:uid="{00000000-0004-0000-0300-000009000000}"/>
    <hyperlink ref="AE13" r:id="rId11" xr:uid="{00000000-0004-0000-0300-00000A000000}"/>
    <hyperlink ref="AE14" r:id="rId12" xr:uid="{00000000-0004-0000-0300-00000B000000}"/>
    <hyperlink ref="AE15" r:id="rId13" xr:uid="{00000000-0004-0000-0300-00000C000000}"/>
    <hyperlink ref="AE11" r:id="rId14" xr:uid="{00000000-0004-0000-0300-00000D000000}"/>
    <hyperlink ref="AE16" r:id="rId15" xr:uid="{00000000-0004-0000-0300-00000E000000}"/>
    <hyperlink ref="AE17" r:id="rId16" xr:uid="{00000000-0004-0000-0300-00000F000000}"/>
    <hyperlink ref="AE18" r:id="rId17" xr:uid="{00000000-0004-0000-0300-000010000000}"/>
    <hyperlink ref="AE20" r:id="rId18" xr:uid="{00000000-0004-0000-0300-000011000000}"/>
    <hyperlink ref="AE19" r:id="rId19" xr:uid="{00000000-0004-0000-0300-000012000000}"/>
    <hyperlink ref="AE21" r:id="rId20" xr:uid="{00000000-0004-0000-0300-000013000000}"/>
    <hyperlink ref="AE22" r:id="rId21" xr:uid="{00000000-0004-0000-0300-000014000000}"/>
    <hyperlink ref="AE23" r:id="rId22" xr:uid="{00000000-0004-0000-0300-000015000000}"/>
    <hyperlink ref="AE24" r:id="rId23" xr:uid="{00000000-0004-0000-0300-000016000000}"/>
    <hyperlink ref="AE25" r:id="rId24" xr:uid="{00000000-0004-0000-0300-000017000000}"/>
    <hyperlink ref="AE43" r:id="rId25" xr:uid="{00000000-0004-0000-0300-000018000000}"/>
    <hyperlink ref="AE44" r:id="rId26" xr:uid="{00000000-0004-0000-0300-000019000000}"/>
    <hyperlink ref="AE45" r:id="rId27" xr:uid="{00000000-0004-0000-0300-00001A000000}"/>
    <hyperlink ref="AE26" r:id="rId28" xr:uid="{00000000-0004-0000-0300-00001B000000}"/>
    <hyperlink ref="AE27" r:id="rId29" xr:uid="{00000000-0004-0000-0300-00001C000000}"/>
    <hyperlink ref="AE28" r:id="rId30" xr:uid="{00000000-0004-0000-0300-00001D000000}"/>
    <hyperlink ref="AE29" r:id="rId31" xr:uid="{00000000-0004-0000-0300-00001E000000}"/>
    <hyperlink ref="AE30" r:id="rId32" xr:uid="{00000000-0004-0000-0300-00001F000000}"/>
    <hyperlink ref="AE32" r:id="rId33" xr:uid="{00000000-0004-0000-0300-000020000000}"/>
    <hyperlink ref="AE31" r:id="rId34" xr:uid="{00000000-0004-0000-0300-000021000000}"/>
    <hyperlink ref="AE33" r:id="rId35" xr:uid="{00000000-0004-0000-0300-000022000000}"/>
    <hyperlink ref="AE34" r:id="rId36" xr:uid="{00000000-0004-0000-0300-000023000000}"/>
    <hyperlink ref="AE36" r:id="rId37" xr:uid="{00000000-0004-0000-0300-000025000000}"/>
    <hyperlink ref="AE35" r:id="rId38" xr:uid="{00000000-0004-0000-0300-000026000000}"/>
    <hyperlink ref="AE37" r:id="rId39" xr:uid="{00000000-0004-0000-0300-000027000000}"/>
    <hyperlink ref="AE38" r:id="rId40" xr:uid="{00000000-0004-0000-0300-000028000000}"/>
    <hyperlink ref="AE39" r:id="rId41" xr:uid="{00000000-0004-0000-0300-000029000000}"/>
    <hyperlink ref="AE40" r:id="rId42" xr:uid="{00000000-0004-0000-0300-00002A000000}"/>
    <hyperlink ref="AE42" r:id="rId43" xr:uid="{00000000-0004-0000-0300-00002B000000}"/>
    <hyperlink ref="AE47" r:id="rId44" xr:uid="{00000000-0004-0000-0300-00002C000000}"/>
    <hyperlink ref="AE48" r:id="rId45" xr:uid="{00000000-0004-0000-0300-00002D000000}"/>
    <hyperlink ref="AE50" r:id="rId46" xr:uid="{00000000-0004-0000-0300-00002E000000}"/>
    <hyperlink ref="AE41" r:id="rId47" xr:uid="{00000000-0004-0000-0300-00002F000000}"/>
    <hyperlink ref="AE46" r:id="rId48" xr:uid="{00000000-0004-0000-0300-000030000000}"/>
    <hyperlink ref="AE49" r:id="rId49" xr:uid="{00000000-0004-0000-0300-000031000000}"/>
    <hyperlink ref="AE51" r:id="rId50" xr:uid="{00000000-0004-0000-0300-000032000000}"/>
  </hyperlinks>
  <pageMargins left="0.7" right="0.7" top="0.75" bottom="0.75" header="0.3" footer="0.3"/>
  <ignoredErrors>
    <ignoredError sqref="P2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Composition</vt:lpstr>
      <vt:lpstr>Players</vt:lpstr>
      <vt:lpstr>Coaches</vt:lpstr>
      <vt:lpstr>RM_var_null_goals_breakdown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rolando leopoldo bouloy fascitelli</cp:lastModifiedBy>
  <dcterms:created xsi:type="dcterms:W3CDTF">2026-10-12T21:54:56Z</dcterms:created>
  <dcterms:modified xsi:type="dcterms:W3CDTF">2026-10-13T03:14:01Z</dcterms:modified>
</cp:coreProperties>
</file>